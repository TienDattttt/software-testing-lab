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Ki2Nam4\Testing\Testing_Lab\"/>
    </mc:Choice>
  </mc:AlternateContent>
  <xr:revisionPtr revIDLastSave="0" documentId="13_ncr:1_{7084A5CA-C959-432A-8077-CBD6BA1BA1D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ver" sheetId="1" r:id="rId1"/>
    <sheet name="Test Report" sheetId="2" r:id="rId2"/>
    <sheet name="Test case List" sheetId="3" r:id="rId3"/>
    <sheet name="Producer_Consumer" sheetId="4" r:id="rId4"/>
  </sheets>
  <definedNames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2" i="4" l="1"/>
  <c r="L21" i="4"/>
  <c r="G6" i="4"/>
  <c r="L13" i="4"/>
  <c r="L20" i="4"/>
  <c r="L19" i="4"/>
  <c r="L18" i="4"/>
  <c r="L17" i="4"/>
  <c r="L16" i="4"/>
  <c r="L15" i="4"/>
  <c r="L14" i="4"/>
  <c r="L12" i="4"/>
  <c r="L11" i="4"/>
  <c r="C11" i="2"/>
  <c r="C5" i="2"/>
  <c r="C6" i="1"/>
  <c r="F6" i="4"/>
  <c r="G11" i="2" s="1"/>
  <c r="D6" i="4"/>
  <c r="E11" i="2" s="1"/>
  <c r="B6" i="4"/>
  <c r="D11" i="2" s="1"/>
  <c r="D4" i="3"/>
  <c r="D3" i="3"/>
  <c r="E6" i="4" l="1"/>
  <c r="G12" i="2"/>
  <c r="E12" i="2"/>
  <c r="A6" i="4"/>
  <c r="I11" i="2" s="1"/>
  <c r="H11" i="2"/>
  <c r="D12" i="2"/>
  <c r="I12" i="2" l="1"/>
  <c r="E16" i="2" s="1"/>
  <c r="F11" i="2"/>
  <c r="H12" i="2"/>
  <c r="E14" i="2" s="1"/>
  <c r="F12" i="2" l="1"/>
  <c r="E15" i="2"/>
</calcChain>
</file>

<file path=xl/sharedStrings.xml><?xml version="1.0" encoding="utf-8"?>
<sst xmlns="http://schemas.openxmlformats.org/spreadsheetml/2006/main" count="176" uniqueCount="120">
  <si>
    <t>SYSTEM 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</si>
  <si>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</si>
  <si>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</si>
  <si>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</si>
  <si>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</si>
  <si>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</si>
  <si>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</si>
  <si>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</si>
  <si>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</si>
  <si>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</si>
  <si>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</si>
  <si>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</si>
  <si>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</si>
  <si>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</si>
  <si>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</si>
  <si>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New document</t>
  </si>
  <si>
    <t>A</t>
  </si>
  <si>
    <t>Create test document</t>
  </si>
  <si>
    <t>N/A</t>
  </si>
  <si>
    <t>TEST REPORT</t>
  </si>
  <si>
    <t>Notes</t>
  </si>
  <si>
    <t>Including 15 functions test</t>
  </si>
  <si>
    <t>No</t>
  </si>
  <si>
    <t>Module code</t>
  </si>
  <si>
    <t>Pass</t>
  </si>
  <si>
    <t>Fail</t>
  </si>
  <si>
    <t>Untested</t>
  </si>
  <si>
    <t>Number of  test cases</t>
  </si>
  <si>
    <t>% Passed of tests</t>
  </si>
  <si>
    <t>Sub total</t>
  </si>
  <si>
    <t>Test coverage</t>
  </si>
  <si>
    <t>%</t>
  </si>
  <si>
    <t>Test successful coverage</t>
  </si>
  <si>
    <t>Test passed percentage</t>
  </si>
  <si>
    <t>TEST CASE LIST</t>
  </si>
  <si>
    <t>Test Environment Setup Description</t>
  </si>
  <si>
    <t>Function Name</t>
  </si>
  <si>
    <t>Sheet Name</t>
  </si>
  <si>
    <t>Description</t>
  </si>
  <si>
    <t>Pre-Condition</t>
  </si>
  <si>
    <t>Module Code</t>
  </si>
  <si>
    <t>Test requirement</t>
  </si>
  <si>
    <t>Reference Document</t>
  </si>
  <si>
    <t>Number of Test cases</t>
  </si>
  <si>
    <t>ID</t>
  </si>
  <si>
    <t>Test Case Description</t>
  </si>
  <si>
    <t>Test Case Procedure</t>
  </si>
  <si>
    <t>Expected Results</t>
  </si>
  <si>
    <t>Result</t>
  </si>
  <si>
    <t>Test date</t>
  </si>
  <si>
    <t>Tester</t>
  </si>
  <si>
    <t>Number of tests</t>
  </si>
  <si>
    <t>Passed</t>
  </si>
  <si>
    <t>% Passed</t>
  </si>
  <si>
    <t>Nguyen Tien Dat</t>
  </si>
  <si>
    <t>27/01/2026</t>
  </si>
  <si>
    <t>1. SQLServer
2. JavaJUnit</t>
  </si>
  <si>
    <t>Actual Result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</si>
  <si>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</si>
  <si>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</si>
  <si>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</si>
  <si>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</si>
  <si>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</si>
  <si>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</si>
  <si>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</si>
  <si>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</si>
  <si>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</si>
  <si>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</si>
  <si>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TC12</t>
  </si>
  <si>
    <t>Status</t>
  </si>
  <si>
    <t>Number</t>
  </si>
  <si>
    <t>Failed</t>
  </si>
  <si>
    <t>Producer_Consumer</t>
  </si>
  <si>
    <t>Kiểm tra put() khi queue chưa full</t>
  </si>
  <si>
    <t>Kiểm tra put() khi queue full và block</t>
  </si>
  <si>
    <t>Kiểm tra take() khi queue có phần tử</t>
  </si>
  <si>
    <t>Kiểm tra take() khi queue empty và block</t>
  </si>
  <si>
    <t>Kiểm tra FIFO property</t>
  </si>
  <si>
    <t>Kiểm tra không vượt capacity</t>
  </si>
  <si>
    <t>Kiểm tra không mất dữ liệu</t>
  </si>
  <si>
    <t>Kiểm tra không deadlock</t>
  </si>
  <si>
    <t>Kiểm tra nhiều consumer chờ empty</t>
  </si>
  <si>
    <t>Kiểm tra nhiều producer chờ full</t>
  </si>
  <si>
    <t>Condition</t>
  </si>
  <si>
    <t>capacity=1, queue rỗng</t>
  </si>
  <si>
    <t>capacity=1, queue đã có 1 phần tử</t>
  </si>
  <si>
    <t>capacity&gt;=1, queue có sẵn 1 phần tử</t>
  </si>
  <si>
    <t>capacity=3, queue rỗng</t>
  </si>
  <si>
    <t>capacity=2, nhiều producer/consumer chạy đồng thời</t>
  </si>
  <si>
    <t>capacity=10, producer tạo N item xác định</t>
  </si>
  <si>
    <t>capacity=1</t>
  </si>
  <si>
    <t>capacity=1, queue đã full</t>
  </si>
  <si>
    <t>Gọi put(10)</t>
  </si>
  <si>
    <t>Gọi put(2) trong thread riêng, sau đó take() để unblock</t>
  </si>
  <si>
    <t>Gọi take()</t>
  </si>
  <si>
    <t>Gọi take() trong thread riêng, sau đó put(99)</t>
  </si>
  <si>
    <t>put(1), put(2), put(3), take() 3 lần</t>
  </si>
  <si>
    <t>Chạy song song trong thời gian ngắn</t>
  </si>
  <si>
    <t>Consumer lấy đúng N item</t>
  </si>
  <si>
    <t>1 producer + 1 consumer xử lý N item</t>
  </si>
  <si>
    <t>3 thread take(), lần lượt put(a), put(b), put©</t>
  </si>
  <si>
    <t>3 thread put(), lần lượt take() 3 lần</t>
  </si>
  <si>
    <t>Không in FULL -&gt; waiting, size=1</t>
  </si>
  <si>
    <t>In FULL -&gt; waiting, put() bị block rồi hoàn tất sau take()</t>
  </si>
  <si>
    <t>Không in EMPTY -&gt; waiting, trả đúng phần tử</t>
  </si>
  <si>
    <t>In EMPTY -&gt; waiting, take() bị block rồi hoàn tất sau put()</t>
  </si>
  <si>
    <t>Nhận lần lượt 1,2,3</t>
  </si>
  <si>
    <t>size() luôn trong khoảng [0..2]</t>
  </si>
  <si>
    <t>Cả 3 put() hoàn tất</t>
  </si>
  <si>
    <t>Cả 3 take() hoàn tất</t>
  </si>
  <si>
    <t>Hoàn tất trong timeout</t>
  </si>
  <si>
    <t>Số lượng và giá trị tiêu thụ đúng N</t>
  </si>
  <si>
    <t xml:space="preserve">TC11	</t>
  </si>
  <si>
    <t>Kiểm tra fairness của queue (đảm bảo non-starvation)</t>
  </si>
  <si>
    <t>capacity=10, queue tạo bằng new ArrayBlockingQueue&lt;&gt;(capacity)</t>
  </si>
  <si>
    <t>Fairness phải = true để đảm bảo non-starvation</t>
  </si>
  <si>
    <t>Kiểm tra fairness của internal lock (đảm bảo non-starvation)</t>
  </si>
  <si>
    <t>Kiểm tra ReentrantLock bên trong ArrayBlockingQueue phải là fair (isFair() = true)</t>
  </si>
  <si>
    <t xml:space="preserve">Internal lock phải fair để tránh starvation	</t>
  </si>
  <si>
    <t xml:space="preserve">Kiểm tra thuộc tính fairness của ArrayBlockingQueue phải = true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</si>
</sst>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8" x14ac:knownFonts="1">
    <font>
      <sz val="11"/>
      <color rgb="FF000000"/>
      <name val="MS PGothic"/>
      <scheme val="minor"/>
    </font>
    <font>
      <sz val="11"/>
      <color theme="1"/>
      <name val="MS PGothic"/>
      <family val="2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sz val="11"/>
      <name val="MS PGothic"/>
    </font>
    <font>
      <b/>
      <sz val="20"/>
      <color rgb="FF000000"/>
      <name val="Tahoma"/>
    </font>
    <font>
      <b/>
      <sz val="10"/>
      <color rgb="FF993300"/>
      <name val="Tahoma"/>
    </font>
    <font>
      <i/>
      <sz val="10"/>
      <color rgb="FF008000"/>
      <name val="Tahoma"/>
    </font>
    <font>
      <sz val="10"/>
      <color rgb="FF000000"/>
      <name val="Tahoma"/>
    </font>
    <font>
      <b/>
      <sz val="10"/>
      <color rgb="FFFFFFFF"/>
      <name val="Tahoma"/>
    </font>
    <font>
      <sz val="11"/>
      <color rgb="FF000000"/>
      <name val="Tahoma"/>
    </font>
    <font>
      <sz val="11"/>
      <color theme="1"/>
      <name val="Tahoma"/>
    </font>
    <font>
      <b/>
      <sz val="10"/>
      <color theme="1"/>
      <name val="Tahoma"/>
    </font>
    <font>
      <sz val="10"/>
      <color rgb="FFFFFFFF"/>
      <name val="Tahoma"/>
    </font>
    <font>
      <b/>
      <sz val="10"/>
      <color rgb="FF0000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u/>
      <sz val="10"/>
      <color rgb="FF0000FF"/>
      <name val="Tahoma"/>
    </font>
    <font>
      <sz val="11"/>
      <color rgb="FF000000"/>
      <name val="MS PGothic"/>
    </font>
    <font>
      <b/>
      <i/>
      <sz val="10"/>
      <color theme="1"/>
      <name val="Tahoma"/>
    </font>
    <font>
      <sz val="11"/>
      <color theme="1"/>
      <name val="Calibri"/>
    </font>
    <font>
      <sz val="10"/>
      <color theme="1"/>
      <name val="Tahoma"/>
      <family val="2"/>
    </font>
    <font>
      <b/>
      <sz val="10"/>
      <color rgb="FFFFFFFF"/>
      <name val="Tahoma"/>
      <family val="2"/>
    </font>
    <font>
      <sz val="11"/>
      <color rgb="FF000000"/>
      <name val="MS PGothic"/>
      <family val="2"/>
      <scheme val="minor"/>
    </font>
    <font>
      <b/>
      <sz val="11"/>
      <color rgb="FF000000"/>
      <name val="MS PGothic"/>
      <family val="2"/>
      <scheme val="minor"/>
    </font>
    <font>
      <u/>
      <sz val="11"/>
      <color theme="10"/>
      <name val="MS PGothic"/>
      <scheme val="minor"/>
    </font>
    <font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</fills>
  <borders count="5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26" fillId="0" borderId="0" applyNumberFormat="0" applyFill="0" applyBorder="0" applyAlignment="0" applyProtection="0"/>
    <xf numFmtId="0" fontId="1" fillId="0" borderId="51"/>
  </cellStyleXfs>
  <cellXfs count="13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2" fillId="2" borderId="1" xfId="0" applyFont="1" applyFill="1" applyBorder="1"/>
    <xf numFmtId="0" fontId="7" fillId="2" borderId="5" xfId="0" applyFont="1" applyFill="1" applyBorder="1" applyAlignment="1">
      <alignment horizontal="left"/>
    </xf>
    <xf numFmtId="0" fontId="2" fillId="0" borderId="4" xfId="0" applyFont="1" applyBorder="1"/>
    <xf numFmtId="164" fontId="9" fillId="2" borderId="10" xfId="0" applyNumberFormat="1" applyFont="1" applyFill="1" applyBorder="1" applyAlignment="1">
      <alignment horizontal="left" vertical="top"/>
    </xf>
    <xf numFmtId="0" fontId="9" fillId="0" borderId="4" xfId="0" applyFont="1" applyBorder="1" applyAlignment="1">
      <alignment horizontal="left"/>
    </xf>
    <xf numFmtId="0" fontId="7" fillId="2" borderId="1" xfId="0" applyFont="1" applyFill="1" applyBorder="1"/>
    <xf numFmtId="0" fontId="7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15" fontId="10" fillId="3" borderId="15" xfId="0" applyNumberFormat="1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2" fillId="0" borderId="0" xfId="0" applyFont="1" applyAlignment="1">
      <alignment vertical="top"/>
    </xf>
    <xf numFmtId="164" fontId="11" fillId="0" borderId="5" xfId="0" applyNumberFormat="1" applyFont="1" applyBorder="1" applyAlignment="1">
      <alignment vertical="top" wrapText="1"/>
    </xf>
    <xf numFmtId="49" fontId="12" fillId="0" borderId="5" xfId="0" applyNumberFormat="1" applyFont="1" applyBorder="1" applyAlignment="1">
      <alignment vertical="top"/>
    </xf>
    <xf numFmtId="0" fontId="12" fillId="0" borderId="5" xfId="0" applyFont="1" applyBorder="1" applyAlignment="1">
      <alignment vertical="top"/>
    </xf>
    <xf numFmtId="15" fontId="12" fillId="0" borderId="0" xfId="0" applyNumberFormat="1" applyFont="1" applyAlignment="1">
      <alignment vertical="top"/>
    </xf>
    <xf numFmtId="0" fontId="13" fillId="2" borderId="1" xfId="0" applyFont="1" applyFill="1" applyBorder="1"/>
    <xf numFmtId="15" fontId="2" fillId="2" borderId="1" xfId="0" applyNumberFormat="1" applyFont="1" applyFill="1" applyBorder="1"/>
    <xf numFmtId="0" fontId="7" fillId="2" borderId="5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/>
    </xf>
    <xf numFmtId="0" fontId="7" fillId="2" borderId="5" xfId="0" applyFont="1" applyFill="1" applyBorder="1" applyAlignment="1">
      <alignment vertical="center"/>
    </xf>
    <xf numFmtId="0" fontId="8" fillId="2" borderId="1" xfId="0" applyFont="1" applyFill="1" applyBorder="1"/>
    <xf numFmtId="0" fontId="10" fillId="3" borderId="22" xfId="0" applyFont="1" applyFill="1" applyBorder="1" applyAlignment="1">
      <alignment horizontal="center"/>
    </xf>
    <xf numFmtId="0" fontId="10" fillId="3" borderId="23" xfId="0" applyFont="1" applyFill="1" applyBorder="1" applyAlignment="1">
      <alignment horizontal="center"/>
    </xf>
    <xf numFmtId="0" fontId="10" fillId="3" borderId="23" xfId="0" applyFont="1" applyFill="1" applyBorder="1" applyAlignment="1">
      <alignment horizontal="center" wrapText="1"/>
    </xf>
    <xf numFmtId="0" fontId="10" fillId="3" borderId="24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 vertical="center"/>
    </xf>
    <xf numFmtId="10" fontId="2" fillId="2" borderId="26" xfId="0" applyNumberFormat="1" applyFont="1" applyFill="1" applyBorder="1" applyAlignment="1">
      <alignment horizontal="center"/>
    </xf>
    <xf numFmtId="10" fontId="2" fillId="2" borderId="1" xfId="0" applyNumberFormat="1" applyFont="1" applyFill="1" applyBorder="1" applyAlignment="1">
      <alignment horizontal="center"/>
    </xf>
    <xf numFmtId="0" fontId="14" fillId="3" borderId="27" xfId="0" applyFont="1" applyFill="1" applyBorder="1" applyAlignment="1">
      <alignment horizontal="center"/>
    </xf>
    <xf numFmtId="0" fontId="10" fillId="3" borderId="28" xfId="0" applyFont="1" applyFill="1" applyBorder="1"/>
    <xf numFmtId="0" fontId="14" fillId="3" borderId="28" xfId="0" applyFont="1" applyFill="1" applyBorder="1" applyAlignment="1">
      <alignment horizontal="center"/>
    </xf>
    <xf numFmtId="10" fontId="14" fillId="3" borderId="29" xfId="0" applyNumberFormat="1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2" fontId="15" fillId="2" borderId="1" xfId="0" applyNumberFormat="1" applyFont="1" applyFill="1" applyBorder="1" applyAlignment="1">
      <alignment horizontal="right" wrapText="1"/>
    </xf>
    <xf numFmtId="0" fontId="9" fillId="2" borderId="1" xfId="0" applyFont="1" applyFill="1" applyBorder="1" applyAlignment="1">
      <alignment horizontal="center" wrapText="1"/>
    </xf>
    <xf numFmtId="10" fontId="15" fillId="2" borderId="1" xfId="0" applyNumberFormat="1" applyFont="1" applyFill="1" applyBorder="1" applyAlignment="1">
      <alignment horizontal="right" wrapText="1"/>
    </xf>
    <xf numFmtId="1" fontId="2" fillId="2" borderId="1" xfId="0" applyNumberFormat="1" applyFont="1" applyFill="1" applyBorder="1"/>
    <xf numFmtId="0" fontId="2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1" fontId="7" fillId="2" borderId="1" xfId="0" applyNumberFormat="1" applyFont="1" applyFill="1" applyBorder="1"/>
    <xf numFmtId="0" fontId="2" fillId="2" borderId="1" xfId="0" applyFont="1" applyFill="1" applyBorder="1" applyAlignment="1">
      <alignment vertical="center"/>
    </xf>
    <xf numFmtId="1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/>
    </xf>
    <xf numFmtId="1" fontId="10" fillId="4" borderId="31" xfId="0" applyNumberFormat="1" applyFont="1" applyFill="1" applyBorder="1" applyAlignment="1">
      <alignment horizontal="center" vertical="center"/>
    </xf>
    <xf numFmtId="0" fontId="10" fillId="4" borderId="32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0" fontId="10" fillId="4" borderId="34" xfId="0" applyFont="1" applyFill="1" applyBorder="1" applyAlignment="1">
      <alignment horizontal="center" vertical="center"/>
    </xf>
    <xf numFmtId="1" fontId="2" fillId="2" borderId="35" xfId="0" applyNumberFormat="1" applyFont="1" applyFill="1" applyBorder="1" applyAlignment="1">
      <alignment vertical="center"/>
    </xf>
    <xf numFmtId="0" fontId="18" fillId="2" borderId="37" xfId="0" applyFont="1" applyFill="1" applyBorder="1" applyAlignment="1">
      <alignment horizontal="left" vertical="center"/>
    </xf>
    <xf numFmtId="0" fontId="2" fillId="2" borderId="38" xfId="0" applyFont="1" applyFill="1" applyBorder="1" applyAlignment="1">
      <alignment horizontal="left" vertical="center"/>
    </xf>
    <xf numFmtId="0" fontId="19" fillId="0" borderId="0" xfId="0" applyFont="1"/>
    <xf numFmtId="1" fontId="2" fillId="2" borderId="39" xfId="0" applyNumberFormat="1" applyFont="1" applyFill="1" applyBorder="1"/>
    <xf numFmtId="0" fontId="8" fillId="2" borderId="1" xfId="0" applyFont="1" applyFill="1" applyBorder="1" applyAlignment="1">
      <alignment wrapText="1"/>
    </xf>
    <xf numFmtId="10" fontId="8" fillId="2" borderId="1" xfId="0" applyNumberFormat="1" applyFont="1" applyFill="1" applyBorder="1" applyAlignment="1">
      <alignment wrapText="1"/>
    </xf>
    <xf numFmtId="0" fontId="13" fillId="2" borderId="40" xfId="0" applyFont="1" applyFill="1" applyBorder="1" applyAlignment="1">
      <alignment vertical="top" wrapText="1"/>
    </xf>
    <xf numFmtId="0" fontId="8" fillId="2" borderId="24" xfId="0" applyFont="1" applyFill="1" applyBorder="1" applyAlignment="1">
      <alignment wrapText="1"/>
    </xf>
    <xf numFmtId="0" fontId="13" fillId="2" borderId="44" xfId="0" applyFont="1" applyFill="1" applyBorder="1" applyAlignment="1">
      <alignment vertical="top" wrapText="1"/>
    </xf>
    <xf numFmtId="0" fontId="8" fillId="2" borderId="45" xfId="0" applyFont="1" applyFill="1" applyBorder="1" applyAlignment="1">
      <alignment wrapText="1"/>
    </xf>
    <xf numFmtId="0" fontId="20" fillId="2" borderId="44" xfId="0" applyFont="1" applyFill="1" applyBorder="1" applyAlignment="1">
      <alignment horizontal="center" vertical="top" wrapText="1"/>
    </xf>
    <xf numFmtId="0" fontId="20" fillId="2" borderId="5" xfId="0" applyFont="1" applyFill="1" applyBorder="1" applyAlignment="1">
      <alignment horizontal="center" vertical="top" wrapText="1"/>
    </xf>
    <xf numFmtId="0" fontId="20" fillId="2" borderId="45" xfId="0" applyFont="1" applyFill="1" applyBorder="1" applyAlignment="1">
      <alignment horizontal="center" vertical="top" wrapText="1"/>
    </xf>
    <xf numFmtId="10" fontId="21" fillId="0" borderId="46" xfId="0" applyNumberFormat="1" applyFont="1" applyBorder="1"/>
    <xf numFmtId="0" fontId="2" fillId="2" borderId="47" xfId="0" applyFont="1" applyFill="1" applyBorder="1" applyAlignment="1">
      <alignment horizontal="center" vertical="top" wrapText="1"/>
    </xf>
    <xf numFmtId="0" fontId="2" fillId="2" borderId="48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49" xfId="0" applyFont="1" applyFill="1" applyBorder="1" applyAlignment="1">
      <alignment horizontal="center" vertical="center" wrapText="1"/>
    </xf>
    <xf numFmtId="0" fontId="10" fillId="5" borderId="50" xfId="0" applyFont="1" applyFill="1" applyBorder="1" applyAlignment="1">
      <alignment horizontal="center" vertical="center" wrapText="1"/>
    </xf>
    <xf numFmtId="10" fontId="10" fillId="5" borderId="50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vertical="top" wrapText="1"/>
    </xf>
    <xf numFmtId="10" fontId="2" fillId="2" borderId="5" xfId="0" applyNumberFormat="1" applyFont="1" applyFill="1" applyBorder="1" applyAlignment="1">
      <alignment vertical="top" wrapText="1"/>
    </xf>
    <xf numFmtId="10" fontId="21" fillId="0" borderId="0" xfId="0" applyNumberFormat="1" applyFont="1"/>
    <xf numFmtId="0" fontId="22" fillId="2" borderId="5" xfId="0" applyFont="1" applyFill="1" applyBorder="1" applyAlignment="1">
      <alignment vertical="top" wrapText="1"/>
    </xf>
    <xf numFmtId="0" fontId="22" fillId="2" borderId="5" xfId="0" applyFont="1" applyFill="1" applyBorder="1" applyAlignment="1">
      <alignment horizontal="left" vertical="top" wrapText="1"/>
    </xf>
    <xf numFmtId="0" fontId="2" fillId="2" borderId="51" xfId="0" applyFont="1" applyFill="1" applyBorder="1"/>
    <xf numFmtId="0" fontId="2" fillId="2" borderId="51" xfId="0" applyFont="1" applyFill="1" applyBorder="1" applyAlignment="1">
      <alignment horizontal="center" wrapText="1"/>
    </xf>
    <xf numFmtId="0" fontId="23" fillId="5" borderId="5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49" fontId="22" fillId="2" borderId="36" xfId="0" applyNumberFormat="1" applyFont="1" applyFill="1" applyBorder="1" applyAlignment="1">
      <alignment horizontal="left" vertical="center"/>
    </xf>
    <xf numFmtId="164" fontId="9" fillId="2" borderId="10" xfId="0" applyNumberFormat="1" applyFont="1" applyFill="1" applyBorder="1" applyAlignment="1">
      <alignment horizontal="left" vertical="top" wrapText="1"/>
    </xf>
    <xf numFmtId="0" fontId="2" fillId="0" borderId="4" xfId="0" applyFont="1" applyBorder="1" applyAlignment="1">
      <alignment vertical="top" wrapText="1"/>
    </xf>
    <xf numFmtId="0" fontId="10" fillId="5" borderId="30" xfId="0" applyFont="1" applyFill="1" applyBorder="1" applyAlignment="1">
      <alignment horizontal="center" vertical="center" wrapText="1"/>
    </xf>
    <xf numFmtId="0" fontId="23" fillId="5" borderId="30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10" fontId="10" fillId="5" borderId="13" xfId="0" applyNumberFormat="1" applyFont="1" applyFill="1" applyBorder="1" applyAlignment="1">
      <alignment horizontal="center" vertical="center" wrapText="1"/>
    </xf>
    <xf numFmtId="0" fontId="22" fillId="2" borderId="41" xfId="0" applyFont="1" applyFill="1" applyBorder="1" applyAlignment="1">
      <alignment horizontal="left" vertical="top" wrapText="1"/>
    </xf>
    <xf numFmtId="0" fontId="5" fillId="0" borderId="42" xfId="0" applyFont="1" applyBorder="1"/>
    <xf numFmtId="0" fontId="5" fillId="0" borderId="43" xfId="0" applyFont="1" applyBorder="1"/>
    <xf numFmtId="0" fontId="2" fillId="2" borderId="2" xfId="0" applyFont="1" applyFill="1" applyBorder="1" applyAlignment="1">
      <alignment horizontal="left" vertical="top" wrapText="1"/>
    </xf>
    <xf numFmtId="0" fontId="5" fillId="0" borderId="3" xfId="0" applyFont="1" applyBorder="1"/>
    <xf numFmtId="0" fontId="5" fillId="0" borderId="30" xfId="0" applyFont="1" applyBorder="1"/>
    <xf numFmtId="0" fontId="5" fillId="0" borderId="4" xfId="0" applyFont="1" applyBorder="1"/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9" fillId="2" borderId="2" xfId="0" applyFont="1" applyFill="1" applyBorder="1" applyAlignment="1">
      <alignment horizontal="left"/>
    </xf>
    <xf numFmtId="0" fontId="27" fillId="2" borderId="2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 vertical="center"/>
    </xf>
    <xf numFmtId="0" fontId="5" fillId="0" borderId="11" xfId="0" applyFont="1" applyBorder="1"/>
    <xf numFmtId="0" fontId="9" fillId="0" borderId="7" xfId="0" applyFont="1" applyBorder="1" applyAlignment="1">
      <alignment horizontal="left" vertical="center"/>
    </xf>
    <xf numFmtId="0" fontId="5" fillId="0" borderId="8" xfId="0" applyFont="1" applyBorder="1"/>
    <xf numFmtId="0" fontId="5" fillId="0" borderId="9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7" fillId="2" borderId="2" xfId="0" applyFont="1" applyFill="1" applyBorder="1" applyAlignment="1">
      <alignment horizontal="left"/>
    </xf>
    <xf numFmtId="0" fontId="9" fillId="2" borderId="49" xfId="0" applyFont="1" applyFill="1" applyBorder="1" applyAlignment="1">
      <alignment vertical="top"/>
    </xf>
    <xf numFmtId="0" fontId="9" fillId="2" borderId="30" xfId="0" applyFont="1" applyFill="1" applyBorder="1" applyAlignment="1">
      <alignment vertical="top"/>
    </xf>
    <xf numFmtId="0" fontId="9" fillId="2" borderId="10" xfId="0" applyFont="1" applyFill="1" applyBorder="1" applyAlignment="1">
      <alignment vertical="top"/>
    </xf>
    <xf numFmtId="0" fontId="6" fillId="2" borderId="19" xfId="0" applyFont="1" applyFill="1" applyBorder="1" applyAlignment="1">
      <alignment horizontal="center"/>
    </xf>
    <xf numFmtId="0" fontId="5" fillId="0" borderId="20" xfId="0" applyFont="1" applyBorder="1"/>
    <xf numFmtId="0" fontId="5" fillId="0" borderId="21" xfId="0" applyFont="1" applyBorder="1"/>
    <xf numFmtId="1" fontId="7" fillId="2" borderId="2" xfId="0" applyNumberFormat="1" applyFont="1" applyFill="1" applyBorder="1"/>
    <xf numFmtId="1" fontId="7" fillId="2" borderId="2" xfId="0" applyNumberFormat="1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left" vertical="top" wrapText="1"/>
    </xf>
    <xf numFmtId="0" fontId="26" fillId="2" borderId="18" xfId="1" applyFill="1" applyBorder="1" applyAlignment="1">
      <alignment horizontal="left" vertical="center"/>
    </xf>
    <xf numFmtId="0" fontId="22" fillId="2" borderId="42" xfId="0" applyFont="1" applyFill="1" applyBorder="1" applyAlignment="1">
      <alignment horizontal="left" vertical="top" wrapText="1"/>
    </xf>
    <xf numFmtId="0" fontId="2" fillId="2" borderId="30" xfId="0" applyFont="1" applyFill="1" applyBorder="1" applyAlignment="1">
      <alignment horizontal="left" vertical="top" wrapText="1"/>
    </xf>
    <xf numFmtId="10" fontId="2" fillId="2" borderId="52" xfId="0" applyNumberFormat="1" applyFont="1" applyFill="1" applyBorder="1" applyAlignment="1">
      <alignment vertical="top" wrapText="1"/>
    </xf>
  </cellXfs>
  <cellStyles count="3">
    <cellStyle name="Hyperlink" xfId="1" builtinId="8"/>
    <cellStyle name="Normal" xfId="0" builtinId="0"/>
    <cellStyle name="Normal 2" xfId="2" xr:uid="{DFBB31DF-02E0-4CBD-864D-FF251B827C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Passed Percent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'Test Report'!$O$6</c:f>
              <c:strCache>
                <c:ptCount val="1"/>
                <c:pt idx="0">
                  <c:v>Number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0F-4034-B38B-4B20BDA2FF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0AB-4E73-B610-9E0FF65679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AB-4E73-B610-9E0FF656795C}"/>
              </c:ext>
            </c:extLst>
          </c:dPt>
          <c:dLbls>
            <c:dLbl>
              <c:idx val="1"/>
              <c:layout>
                <c:manualLayout>
                  <c:x val="-0.10590376202974629"/>
                  <c:y val="2.98840769903762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0AB-4E73-B610-9E0FF656795C}"/>
                </c:ext>
              </c:extLst>
            </c:dLbl>
            <c:dLbl>
              <c:idx val="2"/>
              <c:layout>
                <c:manualLayout>
                  <c:x val="0.10208234908136483"/>
                  <c:y val="4.493037328667250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AB-4E73-B610-9E0FF65679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Report'!$N$7:$N$9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Report'!$O$7:$O$9</c:f>
              <c:numCache>
                <c:formatCode>General</c:formatCode>
                <c:ptCount val="3"/>
                <c:pt idx="0">
                  <c:v>44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B-4E73-B610-9E0FF6567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1156335</xdr:colOff>
      <xdr:row>1</xdr:row>
      <xdr:rowOff>19050</xdr:rowOff>
    </xdr:from>
    <xdr:ext cx="908685" cy="92583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08735" y="179070"/>
          <a:ext cx="908685" cy="92583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365760</xdr:colOff>
      <xdr:row>9</xdr:row>
      <xdr:rowOff>64770</xdr:rowOff>
    </xdr:from>
    <xdr:to>
      <xdr:col>17</xdr:col>
      <xdr:colOff>297180</xdr:colOff>
      <xdr:row>22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D8C89-D4F8-8066-9A49-01EA787D7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97DC92-26CA-4ECA-AFA7-4EAEDB6DA9B3}" name="Table2" displayName="Table2" ref="N6:O9" totalsRowShown="0">
  <autoFilter ref="N6:O9" xr:uid="{2497DC92-26CA-4ECA-AFA7-4EAEDB6DA9B3}"/>
  <tableColumns count="2">
    <tableColumn id="1" xr3:uid="{65AB665D-5275-4034-8F7F-B9C000ECA6A9}" name="Status"/>
    <tableColumn id="2" xr3:uid="{CB2B02AC-A211-47BD-BFAA-5FE0DC864B33}" name="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workbookViewId="0">
      <selection activeCell="D9" sqref="D9"/>
    </sheetView>
  </sheetViews>
  <sheetFormatPr defaultColWidth="12.6640625" defaultRowHeight="15" customHeight="1" x14ac:dyDescent="0.2"/>
  <cols>
    <col min="1" max="1" width="2.21875" customWidth="1"/>
    <col min="2" max="2" width="19.6640625" customWidth="1"/>
    <col min="3" max="3" width="9.21875" customWidth="1"/>
    <col min="4" max="4" width="18.88671875" customWidth="1"/>
    <col min="5" max="5" width="8" customWidth="1"/>
    <col min="6" max="6" width="31.109375" customWidth="1"/>
    <col min="7" max="7" width="31" customWidth="1"/>
    <col min="8" max="26" width="9" customWidth="1"/>
  </cols>
  <sheetData>
    <row r="1" spans="1:26" ht="12.7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2">
      <c r="A2" s="3"/>
      <c r="B2" s="108"/>
      <c r="C2" s="105"/>
      <c r="D2" s="107"/>
      <c r="E2" s="109" t="s">
        <v>0</v>
      </c>
      <c r="F2" s="105"/>
      <c r="G2" s="10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8" t="s">
        <v>1</v>
      </c>
      <c r="C4" s="110" t="s">
        <v>72</v>
      </c>
      <c r="D4" s="105"/>
      <c r="E4" s="107"/>
      <c r="F4" s="8" t="s">
        <v>2</v>
      </c>
      <c r="G4" s="9" t="s">
        <v>54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8" t="s">
        <v>3</v>
      </c>
      <c r="C5" s="111" t="s">
        <v>72</v>
      </c>
      <c r="D5" s="105"/>
      <c r="E5" s="107"/>
      <c r="F5" s="8" t="s">
        <v>4</v>
      </c>
      <c r="G5" s="9" t="s">
        <v>54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12" t="s">
        <v>5</v>
      </c>
      <c r="C6" s="114" t="str">
        <f>C5&amp;"_"&amp;"Test Report"&amp;"_"&amp;"v1"</f>
        <v>Producer_Consumer_Test Report_v1</v>
      </c>
      <c r="D6" s="115"/>
      <c r="E6" s="116"/>
      <c r="F6" s="8" t="s">
        <v>6</v>
      </c>
      <c r="G6" s="10" t="s">
        <v>55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1"/>
      <c r="B7" s="113"/>
      <c r="C7" s="117"/>
      <c r="D7" s="118"/>
      <c r="E7" s="119"/>
      <c r="F7" s="8" t="s">
        <v>7</v>
      </c>
      <c r="G7" s="11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3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4"/>
      <c r="B11" s="15" t="s">
        <v>9</v>
      </c>
      <c r="C11" s="16" t="s">
        <v>7</v>
      </c>
      <c r="D11" s="16" t="s">
        <v>10</v>
      </c>
      <c r="E11" s="16" t="s">
        <v>11</v>
      </c>
      <c r="F11" s="16" t="s">
        <v>12</v>
      </c>
      <c r="G11" s="17" t="s">
        <v>13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2.75" customHeight="1" x14ac:dyDescent="0.2">
      <c r="A12" s="18"/>
      <c r="B12" s="19">
        <v>46049</v>
      </c>
      <c r="C12" s="20" t="s">
        <v>14</v>
      </c>
      <c r="D12" s="21" t="s">
        <v>15</v>
      </c>
      <c r="E12" s="21" t="s">
        <v>16</v>
      </c>
      <c r="F12" s="22" t="s">
        <v>17</v>
      </c>
      <c r="G12" s="21" t="s">
        <v>18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2.75" customHeight="1" x14ac:dyDescent="0.25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/>
    <row r="216" spans="1:26" ht="15.75" customHeight="1" x14ac:dyDescent="0.2"/>
    <row r="217" spans="1:26" ht="15.75" customHeight="1" x14ac:dyDescent="0.2"/>
    <row r="218" spans="1:26" ht="15.75" customHeight="1" x14ac:dyDescent="0.2"/>
    <row r="219" spans="1:26" ht="15.75" customHeight="1" x14ac:dyDescent="0.2"/>
    <row r="220" spans="1:26" ht="15.75" customHeight="1" x14ac:dyDescent="0.2"/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mergeCells count="6">
    <mergeCell ref="B2:D2"/>
    <mergeCell ref="E2:G2"/>
    <mergeCell ref="C4:E4"/>
    <mergeCell ref="C5:E5"/>
    <mergeCell ref="B6:B7"/>
    <mergeCell ref="C6:E7"/>
  </mergeCells>
  <pageMargins left="0.47013888888888888" right="0.47013888888888888" top="0.5" bottom="0.35138888888888886" header="0" footer="0"/>
  <pageSetup paperSize="9" orientation="landscape"/>
  <headerFooter>
    <oddFooter>&amp;L 02ae-BM/PM/HDCV/FSOFT v2/0&amp;CInternal use&amp;R&amp;P/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6"/>
  <sheetViews>
    <sheetView workbookViewId="0">
      <selection activeCell="C11" sqref="C11"/>
    </sheetView>
  </sheetViews>
  <sheetFormatPr defaultColWidth="12.6640625" defaultRowHeight="15" customHeight="1" x14ac:dyDescent="0.2"/>
  <cols>
    <col min="1" max="1" width="9" customWidth="1"/>
    <col min="2" max="2" width="13.44140625" customWidth="1"/>
    <col min="3" max="3" width="36.33203125" customWidth="1"/>
    <col min="4" max="6" width="11.6640625" customWidth="1"/>
    <col min="7" max="7" width="9" customWidth="1"/>
    <col min="8" max="8" width="35.44140625" customWidth="1"/>
    <col min="9" max="9" width="33.44140625" customWidth="1"/>
    <col min="10" max="13" width="9" customWidth="1"/>
    <col min="14" max="15" width="11.33203125" customWidth="1"/>
    <col min="16" max="26" width="9" customWidth="1"/>
  </cols>
  <sheetData>
    <row r="1" spans="1:26" ht="25.5" customHeight="1" x14ac:dyDescent="0.4">
      <c r="A1" s="7"/>
      <c r="B1" s="124" t="s">
        <v>19</v>
      </c>
      <c r="C1" s="125"/>
      <c r="D1" s="125"/>
      <c r="E1" s="125"/>
      <c r="F1" s="125"/>
      <c r="G1" s="125"/>
      <c r="H1" s="12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25">
      <c r="A2" s="23"/>
      <c r="B2" s="23"/>
      <c r="C2" s="7"/>
      <c r="D2" s="7"/>
      <c r="E2" s="7"/>
      <c r="F2" s="7"/>
      <c r="G2" s="7"/>
      <c r="H2" s="2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 x14ac:dyDescent="0.25">
      <c r="A3" s="7"/>
      <c r="B3" s="25" t="s">
        <v>1</v>
      </c>
      <c r="C3" s="111" t="s">
        <v>72</v>
      </c>
      <c r="D3" s="107"/>
      <c r="E3" s="120" t="s">
        <v>2</v>
      </c>
      <c r="F3" s="107"/>
      <c r="G3" s="26"/>
      <c r="H3" s="9" t="s">
        <v>54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 x14ac:dyDescent="0.25">
      <c r="A4" s="7"/>
      <c r="B4" s="25" t="s">
        <v>3</v>
      </c>
      <c r="C4" s="111" t="s">
        <v>72</v>
      </c>
      <c r="D4" s="107"/>
      <c r="E4" s="120" t="s">
        <v>4</v>
      </c>
      <c r="F4" s="107"/>
      <c r="G4" s="26"/>
      <c r="H4" s="9" t="s">
        <v>54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 x14ac:dyDescent="0.25">
      <c r="A5" s="7"/>
      <c r="B5" s="27" t="s">
        <v>5</v>
      </c>
      <c r="C5" s="110" t="str">
        <f>C4&amp;"_"&amp;"Test Report"&amp;"_"&amp;"v1"</f>
        <v>Producer_Consumer_Test Report_v1</v>
      </c>
      <c r="D5" s="107"/>
      <c r="E5" s="120" t="s">
        <v>6</v>
      </c>
      <c r="F5" s="107"/>
      <c r="G5" s="26"/>
      <c r="H5" s="10" t="s">
        <v>55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 x14ac:dyDescent="0.25">
      <c r="A6" s="23"/>
      <c r="B6" s="27" t="s">
        <v>20</v>
      </c>
      <c r="C6" s="121" t="s">
        <v>21</v>
      </c>
      <c r="D6" s="122"/>
      <c r="E6" s="122"/>
      <c r="F6" s="122"/>
      <c r="G6" s="122"/>
      <c r="H6" s="123"/>
      <c r="I6" s="7"/>
      <c r="J6" s="7"/>
      <c r="K6" s="7"/>
      <c r="L6" s="7"/>
      <c r="M6" s="7"/>
      <c r="N6" s="93" t="s">
        <v>69</v>
      </c>
      <c r="O6" s="93" t="s">
        <v>70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25">
      <c r="A7" s="23"/>
      <c r="B7" s="12"/>
      <c r="C7" s="28"/>
      <c r="D7" s="7"/>
      <c r="E7" s="7"/>
      <c r="F7" s="7"/>
      <c r="G7" s="7"/>
      <c r="H7" s="24"/>
      <c r="I7" s="7"/>
      <c r="J7" s="7"/>
      <c r="K7" s="7"/>
      <c r="L7" s="7"/>
      <c r="M7" s="7"/>
      <c r="N7" s="92" t="s">
        <v>52</v>
      </c>
      <c r="O7" s="92">
        <v>44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7"/>
      <c r="B8" s="12"/>
      <c r="C8" s="28"/>
      <c r="D8" s="7"/>
      <c r="E8" s="7"/>
      <c r="F8" s="7"/>
      <c r="G8" s="7"/>
      <c r="H8" s="24"/>
      <c r="I8" s="7"/>
      <c r="J8" s="7"/>
      <c r="K8" s="7"/>
      <c r="L8" s="7"/>
      <c r="M8" s="7"/>
      <c r="N8" s="92" t="s">
        <v>71</v>
      </c>
      <c r="O8" s="92">
        <v>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thickBo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92" t="s">
        <v>26</v>
      </c>
      <c r="O9" s="92">
        <v>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25">
      <c r="A10" s="7"/>
      <c r="B10" s="29" t="s">
        <v>22</v>
      </c>
      <c r="C10" s="30" t="s">
        <v>23</v>
      </c>
      <c r="D10" s="31" t="s">
        <v>24</v>
      </c>
      <c r="E10" s="30" t="s">
        <v>25</v>
      </c>
      <c r="F10" s="30" t="s">
        <v>26</v>
      </c>
      <c r="G10" s="30" t="s">
        <v>18</v>
      </c>
      <c r="H10" s="31" t="s">
        <v>27</v>
      </c>
      <c r="I10" s="32" t="s">
        <v>28</v>
      </c>
      <c r="J10" s="7"/>
      <c r="K10" s="33"/>
      <c r="L10" s="7"/>
      <c r="M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34">
        <v>1</v>
      </c>
      <c r="C11" s="35" t="str">
        <f>Producer_Consumer!B2</f>
        <v>Producer_Consumer</v>
      </c>
      <c r="D11" s="33">
        <f>Producer_Consumer!B6</f>
        <v>10</v>
      </c>
      <c r="E11" s="33">
        <f>Producer_Consumer!D6</f>
        <v>2</v>
      </c>
      <c r="F11" s="33">
        <f>Producer_Consumer!E6</f>
        <v>0</v>
      </c>
      <c r="G11" s="33">
        <f>Producer_Consumer!F6</f>
        <v>0</v>
      </c>
      <c r="H11" s="33">
        <f>Producer_Consumer!G6</f>
        <v>12</v>
      </c>
      <c r="I11" s="36">
        <f>Producer_Consumer!A6</f>
        <v>0.83333333333333337</v>
      </c>
      <c r="J11" s="7"/>
      <c r="K11" s="7"/>
      <c r="L11" s="7"/>
      <c r="M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thickBot="1" x14ac:dyDescent="0.3">
      <c r="A12" s="7"/>
      <c r="B12" s="38"/>
      <c r="C12" s="39" t="s">
        <v>29</v>
      </c>
      <c r="D12" s="40">
        <f>SUM(D11:D11)</f>
        <v>10</v>
      </c>
      <c r="E12" s="40">
        <f>SUM(E9:E11)</f>
        <v>2</v>
      </c>
      <c r="F12" s="40">
        <f>SUM(F9:F11)</f>
        <v>0</v>
      </c>
      <c r="G12" s="40">
        <f>SUM(G9:G11)</f>
        <v>0</v>
      </c>
      <c r="H12" s="40">
        <f>SUM(H11:H11)</f>
        <v>12</v>
      </c>
      <c r="I12" s="41">
        <f>SUM(I11:I11)/COUNT(I11:I11)</f>
        <v>0.83333333333333337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33"/>
      <c r="C13" s="7"/>
      <c r="D13" s="37"/>
      <c r="E13" s="42"/>
      <c r="F13" s="42"/>
      <c r="G13" s="42"/>
      <c r="H13" s="42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5">
      <c r="A14" s="7"/>
      <c r="B14" s="7"/>
      <c r="C14" s="5" t="s">
        <v>30</v>
      </c>
      <c r="D14" s="7"/>
      <c r="E14" s="43">
        <f>(D12+E12)*100/(H12-G12)</f>
        <v>100</v>
      </c>
      <c r="F14" s="7" t="s">
        <v>31</v>
      </c>
      <c r="G14" s="7"/>
      <c r="H14" s="44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7"/>
      <c r="B15" s="7"/>
      <c r="C15" s="5" t="s">
        <v>32</v>
      </c>
      <c r="D15" s="7"/>
      <c r="E15" s="43">
        <f>D12*100/(H12-G12)</f>
        <v>83.333333333333329</v>
      </c>
      <c r="F15" s="7" t="s">
        <v>31</v>
      </c>
      <c r="G15" s="7"/>
      <c r="H15" s="4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7"/>
      <c r="B16" s="7"/>
      <c r="C16" s="5" t="s">
        <v>33</v>
      </c>
      <c r="D16" s="7"/>
      <c r="E16" s="45">
        <f>I12</f>
        <v>0.83333333333333337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"/>
    <row r="218" spans="1:26" ht="15.75" customHeight="1" x14ac:dyDescent="0.2"/>
    <row r="219" spans="1:26" ht="15.75" customHeight="1" x14ac:dyDescent="0.2"/>
    <row r="220" spans="1:26" ht="15.75" customHeight="1" x14ac:dyDescent="0.2"/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4791666666666667" right="0.74791666666666667" top="0.98402777777777783" bottom="0.98402777777777772" header="0" footer="0"/>
  <pageSetup orientation="landscape"/>
  <headerFooter>
    <oddFooter>&amp;L 02ae-BM/PM/HDCV/FSOFT v2/0&amp;CInternal use&amp;R&amp;P/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6"/>
  <sheetViews>
    <sheetView workbookViewId="0">
      <selection activeCell="D11" sqref="D11"/>
    </sheetView>
  </sheetViews>
  <sheetFormatPr defaultColWidth="12.6640625" defaultRowHeight="15" customHeight="1" x14ac:dyDescent="0.2"/>
  <cols>
    <col min="1" max="1" width="1.77734375" customWidth="1"/>
    <col min="2" max="2" width="11.77734375" customWidth="1"/>
    <col min="3" max="4" width="37.77734375" customWidth="1"/>
    <col min="5" max="5" width="28.109375" customWidth="1"/>
    <col min="6" max="6" width="30.6640625" customWidth="1"/>
    <col min="7" max="26" width="9" customWidth="1"/>
  </cols>
  <sheetData>
    <row r="1" spans="1:26" ht="24.6" x14ac:dyDescent="0.4">
      <c r="A1" s="7"/>
      <c r="B1" s="46"/>
      <c r="C1" s="47"/>
      <c r="D1" s="48" t="s">
        <v>34</v>
      </c>
      <c r="E1" s="49"/>
      <c r="F1" s="4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25">
      <c r="A2" s="7"/>
      <c r="B2" s="46"/>
      <c r="C2" s="47"/>
      <c r="D2" s="50"/>
      <c r="E2" s="50"/>
      <c r="F2" s="4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25">
      <c r="A3" s="7"/>
      <c r="B3" s="127" t="s">
        <v>1</v>
      </c>
      <c r="C3" s="106"/>
      <c r="D3" s="110" t="str">
        <f>Cover!C4</f>
        <v>Producer_Consumer</v>
      </c>
      <c r="E3" s="105"/>
      <c r="F3" s="10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25">
      <c r="A4" s="7"/>
      <c r="B4" s="127" t="s">
        <v>3</v>
      </c>
      <c r="C4" s="106"/>
      <c r="D4" s="110" t="str">
        <f>Cover!C5</f>
        <v>Producer_Consumer</v>
      </c>
      <c r="E4" s="105"/>
      <c r="F4" s="10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 x14ac:dyDescent="0.25">
      <c r="A5" s="51"/>
      <c r="B5" s="128" t="s">
        <v>35</v>
      </c>
      <c r="C5" s="107"/>
      <c r="D5" s="129" t="s">
        <v>56</v>
      </c>
      <c r="E5" s="105"/>
      <c r="F5" s="107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2.75" customHeight="1" x14ac:dyDescent="0.25">
      <c r="A6" s="7"/>
      <c r="B6" s="52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">
      <c r="A7" s="53"/>
      <c r="B7" s="54"/>
      <c r="C7" s="55"/>
      <c r="D7" s="55"/>
      <c r="E7" s="55"/>
      <c r="F7" s="55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21" customHeight="1" x14ac:dyDescent="0.25">
      <c r="A8" s="56"/>
      <c r="B8" s="57" t="s">
        <v>22</v>
      </c>
      <c r="C8" s="58" t="s">
        <v>36</v>
      </c>
      <c r="D8" s="58" t="s">
        <v>37</v>
      </c>
      <c r="E8" s="59" t="s">
        <v>38</v>
      </c>
      <c r="F8" s="60" t="s">
        <v>39</v>
      </c>
      <c r="G8" s="7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2.75" customHeight="1" x14ac:dyDescent="0.25">
      <c r="A9" s="7"/>
      <c r="B9" s="61">
        <v>1</v>
      </c>
      <c r="C9" s="94" t="s">
        <v>72</v>
      </c>
      <c r="D9" s="130" t="s">
        <v>72</v>
      </c>
      <c r="E9" s="62"/>
      <c r="F9" s="63"/>
      <c r="G9" s="7"/>
      <c r="H9" s="6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65"/>
      <c r="C10" s="47"/>
      <c r="D10" s="47"/>
      <c r="E10" s="47"/>
      <c r="F10" s="4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46"/>
      <c r="C11" s="47"/>
      <c r="D11" s="47"/>
      <c r="E11" s="47"/>
      <c r="F11" s="4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46"/>
      <c r="C12" s="47"/>
      <c r="D12" s="47"/>
      <c r="E12" s="47"/>
      <c r="F12" s="4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46"/>
      <c r="C13" s="47"/>
      <c r="D13" s="47"/>
      <c r="E13" s="47"/>
      <c r="F13" s="4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5">
      <c r="A14" s="7"/>
      <c r="B14" s="46"/>
      <c r="C14" s="47"/>
      <c r="D14" s="47"/>
      <c r="E14" s="47"/>
      <c r="F14" s="4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7"/>
      <c r="B15" s="46"/>
      <c r="C15" s="47"/>
      <c r="D15" s="47"/>
      <c r="E15" s="47"/>
      <c r="F15" s="4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7"/>
      <c r="B16" s="46"/>
      <c r="C16" s="47"/>
      <c r="D16" s="47"/>
      <c r="E16" s="47"/>
      <c r="F16" s="4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7"/>
      <c r="B17" s="46"/>
      <c r="C17" s="47"/>
      <c r="D17" s="47"/>
      <c r="E17" s="47"/>
      <c r="F17" s="4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7"/>
      <c r="B18" s="46"/>
      <c r="C18" s="47"/>
      <c r="D18" s="47"/>
      <c r="E18" s="47"/>
      <c r="F18" s="4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46"/>
      <c r="C19" s="47"/>
      <c r="D19" s="47"/>
      <c r="E19" s="47"/>
      <c r="F19" s="4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46"/>
      <c r="C20" s="47"/>
      <c r="D20" s="47"/>
      <c r="E20" s="47"/>
      <c r="F20" s="4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46"/>
      <c r="C21" s="47"/>
      <c r="D21" s="47"/>
      <c r="E21" s="47"/>
      <c r="F21" s="4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46"/>
      <c r="C22" s="47"/>
      <c r="D22" s="47"/>
      <c r="E22" s="47"/>
      <c r="F22" s="4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46"/>
      <c r="C23" s="47"/>
      <c r="D23" s="47"/>
      <c r="E23" s="47"/>
      <c r="F23" s="4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46"/>
      <c r="C24" s="47"/>
      <c r="D24" s="47"/>
      <c r="E24" s="47"/>
      <c r="F24" s="4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46"/>
      <c r="C25" s="47"/>
      <c r="D25" s="47"/>
      <c r="E25" s="47"/>
      <c r="F25" s="4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46"/>
      <c r="C26" s="47"/>
      <c r="D26" s="47"/>
      <c r="E26" s="47"/>
      <c r="F26" s="4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46"/>
      <c r="C27" s="47"/>
      <c r="D27" s="47"/>
      <c r="E27" s="47"/>
      <c r="F27" s="4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46"/>
      <c r="C28" s="47"/>
      <c r="D28" s="47"/>
      <c r="E28" s="47"/>
      <c r="F28" s="4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46"/>
      <c r="C29" s="47"/>
      <c r="D29" s="47"/>
      <c r="E29" s="47"/>
      <c r="F29" s="4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46"/>
      <c r="C30" s="47"/>
      <c r="D30" s="47"/>
      <c r="E30" s="47"/>
      <c r="F30" s="4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46"/>
      <c r="C31" s="47"/>
      <c r="D31" s="47"/>
      <c r="E31" s="47"/>
      <c r="F31" s="4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46"/>
      <c r="C32" s="47"/>
      <c r="D32" s="47"/>
      <c r="E32" s="47"/>
      <c r="F32" s="4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46"/>
      <c r="C33" s="47"/>
      <c r="D33" s="47"/>
      <c r="E33" s="47"/>
      <c r="F33" s="4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46"/>
      <c r="C34" s="47"/>
      <c r="D34" s="47"/>
      <c r="E34" s="47"/>
      <c r="F34" s="4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46"/>
      <c r="C35" s="47"/>
      <c r="D35" s="47"/>
      <c r="E35" s="47"/>
      <c r="F35" s="4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46"/>
      <c r="C36" s="47"/>
      <c r="D36" s="47"/>
      <c r="E36" s="47"/>
      <c r="F36" s="4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46"/>
      <c r="C37" s="47"/>
      <c r="D37" s="47"/>
      <c r="E37" s="47"/>
      <c r="F37" s="4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46"/>
      <c r="C38" s="47"/>
      <c r="D38" s="47"/>
      <c r="E38" s="47"/>
      <c r="F38" s="4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46"/>
      <c r="C39" s="47"/>
      <c r="D39" s="47"/>
      <c r="E39" s="47"/>
      <c r="F39" s="4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46"/>
      <c r="C40" s="47"/>
      <c r="D40" s="47"/>
      <c r="E40" s="47"/>
      <c r="F40" s="4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46"/>
      <c r="C41" s="47"/>
      <c r="D41" s="47"/>
      <c r="E41" s="47"/>
      <c r="F41" s="4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46"/>
      <c r="C42" s="47"/>
      <c r="D42" s="47"/>
      <c r="E42" s="47"/>
      <c r="F42" s="4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46"/>
      <c r="C43" s="47"/>
      <c r="D43" s="47"/>
      <c r="E43" s="47"/>
      <c r="F43" s="4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46"/>
      <c r="C44" s="47"/>
      <c r="D44" s="47"/>
      <c r="E44" s="47"/>
      <c r="F44" s="4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46"/>
      <c r="C45" s="47"/>
      <c r="D45" s="47"/>
      <c r="E45" s="47"/>
      <c r="F45" s="4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46"/>
      <c r="C46" s="47"/>
      <c r="D46" s="47"/>
      <c r="E46" s="47"/>
      <c r="F46" s="4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46"/>
      <c r="C47" s="47"/>
      <c r="D47" s="47"/>
      <c r="E47" s="47"/>
      <c r="F47" s="4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46"/>
      <c r="C48" s="47"/>
      <c r="D48" s="47"/>
      <c r="E48" s="47"/>
      <c r="F48" s="4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46"/>
      <c r="C49" s="47"/>
      <c r="D49" s="47"/>
      <c r="E49" s="47"/>
      <c r="F49" s="4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46"/>
      <c r="C50" s="47"/>
      <c r="D50" s="47"/>
      <c r="E50" s="47"/>
      <c r="F50" s="4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46"/>
      <c r="C51" s="47"/>
      <c r="D51" s="47"/>
      <c r="E51" s="47"/>
      <c r="F51" s="4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46"/>
      <c r="C52" s="47"/>
      <c r="D52" s="47"/>
      <c r="E52" s="47"/>
      <c r="F52" s="4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46"/>
      <c r="C53" s="47"/>
      <c r="D53" s="47"/>
      <c r="E53" s="47"/>
      <c r="F53" s="4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46"/>
      <c r="C54" s="47"/>
      <c r="D54" s="47"/>
      <c r="E54" s="47"/>
      <c r="F54" s="4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46"/>
      <c r="C55" s="47"/>
      <c r="D55" s="47"/>
      <c r="E55" s="47"/>
      <c r="F55" s="4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46"/>
      <c r="C56" s="47"/>
      <c r="D56" s="47"/>
      <c r="E56" s="47"/>
      <c r="F56" s="4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46"/>
      <c r="C57" s="47"/>
      <c r="D57" s="47"/>
      <c r="E57" s="47"/>
      <c r="F57" s="4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46"/>
      <c r="C58" s="47"/>
      <c r="D58" s="47"/>
      <c r="E58" s="47"/>
      <c r="F58" s="4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46"/>
      <c r="C59" s="47"/>
      <c r="D59" s="47"/>
      <c r="E59" s="47"/>
      <c r="F59" s="4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46"/>
      <c r="C60" s="47"/>
      <c r="D60" s="47"/>
      <c r="E60" s="47"/>
      <c r="F60" s="4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46"/>
      <c r="C61" s="47"/>
      <c r="D61" s="47"/>
      <c r="E61" s="47"/>
      <c r="F61" s="4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46"/>
      <c r="C62" s="47"/>
      <c r="D62" s="47"/>
      <c r="E62" s="47"/>
      <c r="F62" s="4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46"/>
      <c r="C63" s="47"/>
      <c r="D63" s="47"/>
      <c r="E63" s="47"/>
      <c r="F63" s="4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46"/>
      <c r="C64" s="47"/>
      <c r="D64" s="47"/>
      <c r="E64" s="47"/>
      <c r="F64" s="4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46"/>
      <c r="C65" s="47"/>
      <c r="D65" s="47"/>
      <c r="E65" s="47"/>
      <c r="F65" s="4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46"/>
      <c r="C66" s="47"/>
      <c r="D66" s="47"/>
      <c r="E66" s="47"/>
      <c r="F66" s="4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46"/>
      <c r="C67" s="47"/>
      <c r="D67" s="47"/>
      <c r="E67" s="47"/>
      <c r="F67" s="4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46"/>
      <c r="C68" s="47"/>
      <c r="D68" s="47"/>
      <c r="E68" s="47"/>
      <c r="F68" s="4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46"/>
      <c r="C69" s="47"/>
      <c r="D69" s="47"/>
      <c r="E69" s="47"/>
      <c r="F69" s="4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46"/>
      <c r="C70" s="47"/>
      <c r="D70" s="47"/>
      <c r="E70" s="47"/>
      <c r="F70" s="4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46"/>
      <c r="C71" s="47"/>
      <c r="D71" s="47"/>
      <c r="E71" s="47"/>
      <c r="F71" s="4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46"/>
      <c r="C72" s="47"/>
      <c r="D72" s="47"/>
      <c r="E72" s="47"/>
      <c r="F72" s="4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46"/>
      <c r="C73" s="47"/>
      <c r="D73" s="47"/>
      <c r="E73" s="47"/>
      <c r="F73" s="4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46"/>
      <c r="C74" s="47"/>
      <c r="D74" s="47"/>
      <c r="E74" s="47"/>
      <c r="F74" s="4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46"/>
      <c r="C75" s="47"/>
      <c r="D75" s="47"/>
      <c r="E75" s="47"/>
      <c r="F75" s="4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46"/>
      <c r="C76" s="47"/>
      <c r="D76" s="47"/>
      <c r="E76" s="47"/>
      <c r="F76" s="4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46"/>
      <c r="C77" s="47"/>
      <c r="D77" s="47"/>
      <c r="E77" s="47"/>
      <c r="F77" s="4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46"/>
      <c r="C78" s="47"/>
      <c r="D78" s="47"/>
      <c r="E78" s="47"/>
      <c r="F78" s="4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46"/>
      <c r="C79" s="47"/>
      <c r="D79" s="47"/>
      <c r="E79" s="47"/>
      <c r="F79" s="4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46"/>
      <c r="C80" s="47"/>
      <c r="D80" s="47"/>
      <c r="E80" s="47"/>
      <c r="F80" s="4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46"/>
      <c r="C81" s="47"/>
      <c r="D81" s="47"/>
      <c r="E81" s="47"/>
      <c r="F81" s="4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46"/>
      <c r="C82" s="47"/>
      <c r="D82" s="47"/>
      <c r="E82" s="47"/>
      <c r="F82" s="4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46"/>
      <c r="C83" s="47"/>
      <c r="D83" s="47"/>
      <c r="E83" s="47"/>
      <c r="F83" s="4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46"/>
      <c r="C84" s="47"/>
      <c r="D84" s="47"/>
      <c r="E84" s="47"/>
      <c r="F84" s="4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46"/>
      <c r="C85" s="47"/>
      <c r="D85" s="47"/>
      <c r="E85" s="47"/>
      <c r="F85" s="4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46"/>
      <c r="C86" s="47"/>
      <c r="D86" s="47"/>
      <c r="E86" s="47"/>
      <c r="F86" s="4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46"/>
      <c r="C87" s="47"/>
      <c r="D87" s="47"/>
      <c r="E87" s="47"/>
      <c r="F87" s="4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46"/>
      <c r="C88" s="47"/>
      <c r="D88" s="47"/>
      <c r="E88" s="47"/>
      <c r="F88" s="4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46"/>
      <c r="C89" s="47"/>
      <c r="D89" s="47"/>
      <c r="E89" s="47"/>
      <c r="F89" s="4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46"/>
      <c r="C90" s="47"/>
      <c r="D90" s="47"/>
      <c r="E90" s="47"/>
      <c r="F90" s="4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46"/>
      <c r="C91" s="47"/>
      <c r="D91" s="47"/>
      <c r="E91" s="47"/>
      <c r="F91" s="4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46"/>
      <c r="C92" s="47"/>
      <c r="D92" s="47"/>
      <c r="E92" s="47"/>
      <c r="F92" s="4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46"/>
      <c r="C93" s="47"/>
      <c r="D93" s="47"/>
      <c r="E93" s="47"/>
      <c r="F93" s="4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46"/>
      <c r="C94" s="47"/>
      <c r="D94" s="47"/>
      <c r="E94" s="47"/>
      <c r="F94" s="4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46"/>
      <c r="C95" s="47"/>
      <c r="D95" s="47"/>
      <c r="E95" s="47"/>
      <c r="F95" s="4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46"/>
      <c r="C96" s="47"/>
      <c r="D96" s="47"/>
      <c r="E96" s="47"/>
      <c r="F96" s="4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46"/>
      <c r="C97" s="47"/>
      <c r="D97" s="47"/>
      <c r="E97" s="47"/>
      <c r="F97" s="4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46"/>
      <c r="C98" s="47"/>
      <c r="D98" s="47"/>
      <c r="E98" s="47"/>
      <c r="F98" s="4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46"/>
      <c r="C99" s="47"/>
      <c r="D99" s="47"/>
      <c r="E99" s="47"/>
      <c r="F99" s="4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46"/>
      <c r="C100" s="47"/>
      <c r="D100" s="47"/>
      <c r="E100" s="47"/>
      <c r="F100" s="4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46"/>
      <c r="C101" s="47"/>
      <c r="D101" s="47"/>
      <c r="E101" s="47"/>
      <c r="F101" s="4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46"/>
      <c r="C102" s="47"/>
      <c r="D102" s="47"/>
      <c r="E102" s="47"/>
      <c r="F102" s="4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46"/>
      <c r="C103" s="47"/>
      <c r="D103" s="47"/>
      <c r="E103" s="47"/>
      <c r="F103" s="4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46"/>
      <c r="C104" s="47"/>
      <c r="D104" s="47"/>
      <c r="E104" s="47"/>
      <c r="F104" s="4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46"/>
      <c r="C105" s="47"/>
      <c r="D105" s="47"/>
      <c r="E105" s="47"/>
      <c r="F105" s="4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46"/>
      <c r="C106" s="47"/>
      <c r="D106" s="47"/>
      <c r="E106" s="47"/>
      <c r="F106" s="4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46"/>
      <c r="C107" s="47"/>
      <c r="D107" s="47"/>
      <c r="E107" s="47"/>
      <c r="F107" s="4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46"/>
      <c r="C108" s="47"/>
      <c r="D108" s="47"/>
      <c r="E108" s="47"/>
      <c r="F108" s="4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46"/>
      <c r="C109" s="47"/>
      <c r="D109" s="47"/>
      <c r="E109" s="47"/>
      <c r="F109" s="4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46"/>
      <c r="C110" s="47"/>
      <c r="D110" s="47"/>
      <c r="E110" s="47"/>
      <c r="F110" s="4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46"/>
      <c r="C111" s="47"/>
      <c r="D111" s="47"/>
      <c r="E111" s="47"/>
      <c r="F111" s="4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46"/>
      <c r="C112" s="47"/>
      <c r="D112" s="47"/>
      <c r="E112" s="47"/>
      <c r="F112" s="4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46"/>
      <c r="C113" s="47"/>
      <c r="D113" s="47"/>
      <c r="E113" s="47"/>
      <c r="F113" s="4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46"/>
      <c r="C114" s="47"/>
      <c r="D114" s="47"/>
      <c r="E114" s="47"/>
      <c r="F114" s="4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46"/>
      <c r="C115" s="47"/>
      <c r="D115" s="47"/>
      <c r="E115" s="47"/>
      <c r="F115" s="4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46"/>
      <c r="C116" s="47"/>
      <c r="D116" s="47"/>
      <c r="E116" s="47"/>
      <c r="F116" s="4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46"/>
      <c r="C117" s="47"/>
      <c r="D117" s="47"/>
      <c r="E117" s="47"/>
      <c r="F117" s="4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46"/>
      <c r="C118" s="47"/>
      <c r="D118" s="47"/>
      <c r="E118" s="47"/>
      <c r="F118" s="4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46"/>
      <c r="C119" s="47"/>
      <c r="D119" s="47"/>
      <c r="E119" s="47"/>
      <c r="F119" s="4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46"/>
      <c r="C120" s="47"/>
      <c r="D120" s="47"/>
      <c r="E120" s="47"/>
      <c r="F120" s="4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46"/>
      <c r="C121" s="47"/>
      <c r="D121" s="47"/>
      <c r="E121" s="47"/>
      <c r="F121" s="4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46"/>
      <c r="C122" s="47"/>
      <c r="D122" s="47"/>
      <c r="E122" s="47"/>
      <c r="F122" s="4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46"/>
      <c r="C123" s="47"/>
      <c r="D123" s="47"/>
      <c r="E123" s="47"/>
      <c r="F123" s="4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46"/>
      <c r="C124" s="47"/>
      <c r="D124" s="47"/>
      <c r="E124" s="47"/>
      <c r="F124" s="4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46"/>
      <c r="C125" s="47"/>
      <c r="D125" s="47"/>
      <c r="E125" s="47"/>
      <c r="F125" s="4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46"/>
      <c r="C126" s="47"/>
      <c r="D126" s="47"/>
      <c r="E126" s="47"/>
      <c r="F126" s="4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46"/>
      <c r="C127" s="47"/>
      <c r="D127" s="47"/>
      <c r="E127" s="47"/>
      <c r="F127" s="4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46"/>
      <c r="C128" s="47"/>
      <c r="D128" s="47"/>
      <c r="E128" s="47"/>
      <c r="F128" s="4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46"/>
      <c r="C129" s="47"/>
      <c r="D129" s="47"/>
      <c r="E129" s="47"/>
      <c r="F129" s="4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46"/>
      <c r="C130" s="47"/>
      <c r="D130" s="47"/>
      <c r="E130" s="47"/>
      <c r="F130" s="4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46"/>
      <c r="C131" s="47"/>
      <c r="D131" s="47"/>
      <c r="E131" s="47"/>
      <c r="F131" s="4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46"/>
      <c r="C132" s="47"/>
      <c r="D132" s="47"/>
      <c r="E132" s="47"/>
      <c r="F132" s="4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46"/>
      <c r="C133" s="47"/>
      <c r="D133" s="47"/>
      <c r="E133" s="47"/>
      <c r="F133" s="4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46"/>
      <c r="C134" s="47"/>
      <c r="D134" s="47"/>
      <c r="E134" s="47"/>
      <c r="F134" s="4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46"/>
      <c r="C135" s="47"/>
      <c r="D135" s="47"/>
      <c r="E135" s="47"/>
      <c r="F135" s="4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46"/>
      <c r="C136" s="47"/>
      <c r="D136" s="47"/>
      <c r="E136" s="47"/>
      <c r="F136" s="4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46"/>
      <c r="C137" s="47"/>
      <c r="D137" s="47"/>
      <c r="E137" s="47"/>
      <c r="F137" s="4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46"/>
      <c r="C138" s="47"/>
      <c r="D138" s="47"/>
      <c r="E138" s="47"/>
      <c r="F138" s="4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46"/>
      <c r="C139" s="47"/>
      <c r="D139" s="47"/>
      <c r="E139" s="47"/>
      <c r="F139" s="4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46"/>
      <c r="C140" s="47"/>
      <c r="D140" s="47"/>
      <c r="E140" s="47"/>
      <c r="F140" s="4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46"/>
      <c r="C141" s="47"/>
      <c r="D141" s="47"/>
      <c r="E141" s="47"/>
      <c r="F141" s="4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46"/>
      <c r="C142" s="47"/>
      <c r="D142" s="47"/>
      <c r="E142" s="47"/>
      <c r="F142" s="4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46"/>
      <c r="C143" s="47"/>
      <c r="D143" s="47"/>
      <c r="E143" s="47"/>
      <c r="F143" s="4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46"/>
      <c r="C144" s="47"/>
      <c r="D144" s="47"/>
      <c r="E144" s="47"/>
      <c r="F144" s="4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46"/>
      <c r="C145" s="47"/>
      <c r="D145" s="47"/>
      <c r="E145" s="47"/>
      <c r="F145" s="4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46"/>
      <c r="C146" s="47"/>
      <c r="D146" s="47"/>
      <c r="E146" s="47"/>
      <c r="F146" s="4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46"/>
      <c r="C147" s="47"/>
      <c r="D147" s="47"/>
      <c r="E147" s="47"/>
      <c r="F147" s="4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46"/>
      <c r="C148" s="47"/>
      <c r="D148" s="47"/>
      <c r="E148" s="47"/>
      <c r="F148" s="4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46"/>
      <c r="C149" s="47"/>
      <c r="D149" s="47"/>
      <c r="E149" s="47"/>
      <c r="F149" s="4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46"/>
      <c r="C150" s="47"/>
      <c r="D150" s="47"/>
      <c r="E150" s="47"/>
      <c r="F150" s="4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46"/>
      <c r="C151" s="47"/>
      <c r="D151" s="47"/>
      <c r="E151" s="47"/>
      <c r="F151" s="4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46"/>
      <c r="C152" s="47"/>
      <c r="D152" s="47"/>
      <c r="E152" s="47"/>
      <c r="F152" s="4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46"/>
      <c r="C153" s="47"/>
      <c r="D153" s="47"/>
      <c r="E153" s="47"/>
      <c r="F153" s="4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46"/>
      <c r="C154" s="47"/>
      <c r="D154" s="47"/>
      <c r="E154" s="47"/>
      <c r="F154" s="4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46"/>
      <c r="C155" s="47"/>
      <c r="D155" s="47"/>
      <c r="E155" s="47"/>
      <c r="F155" s="4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46"/>
      <c r="C156" s="47"/>
      <c r="D156" s="47"/>
      <c r="E156" s="47"/>
      <c r="F156" s="4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46"/>
      <c r="C157" s="47"/>
      <c r="D157" s="47"/>
      <c r="E157" s="47"/>
      <c r="F157" s="4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46"/>
      <c r="C158" s="47"/>
      <c r="D158" s="47"/>
      <c r="E158" s="47"/>
      <c r="F158" s="4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46"/>
      <c r="C159" s="47"/>
      <c r="D159" s="47"/>
      <c r="E159" s="47"/>
      <c r="F159" s="4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46"/>
      <c r="C160" s="47"/>
      <c r="D160" s="47"/>
      <c r="E160" s="47"/>
      <c r="F160" s="4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46"/>
      <c r="C161" s="47"/>
      <c r="D161" s="47"/>
      <c r="E161" s="47"/>
      <c r="F161" s="4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46"/>
      <c r="C162" s="47"/>
      <c r="D162" s="47"/>
      <c r="E162" s="47"/>
      <c r="F162" s="4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46"/>
      <c r="C163" s="47"/>
      <c r="D163" s="47"/>
      <c r="E163" s="47"/>
      <c r="F163" s="4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46"/>
      <c r="C164" s="47"/>
      <c r="D164" s="47"/>
      <c r="E164" s="47"/>
      <c r="F164" s="4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46"/>
      <c r="C165" s="47"/>
      <c r="D165" s="47"/>
      <c r="E165" s="47"/>
      <c r="F165" s="4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46"/>
      <c r="C166" s="47"/>
      <c r="D166" s="47"/>
      <c r="E166" s="47"/>
      <c r="F166" s="4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46"/>
      <c r="C167" s="47"/>
      <c r="D167" s="47"/>
      <c r="E167" s="47"/>
      <c r="F167" s="4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46"/>
      <c r="C168" s="47"/>
      <c r="D168" s="47"/>
      <c r="E168" s="47"/>
      <c r="F168" s="4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46"/>
      <c r="C169" s="47"/>
      <c r="D169" s="47"/>
      <c r="E169" s="47"/>
      <c r="F169" s="4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46"/>
      <c r="C170" s="47"/>
      <c r="D170" s="47"/>
      <c r="E170" s="47"/>
      <c r="F170" s="4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46"/>
      <c r="C171" s="47"/>
      <c r="D171" s="47"/>
      <c r="E171" s="47"/>
      <c r="F171" s="4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46"/>
      <c r="C172" s="47"/>
      <c r="D172" s="47"/>
      <c r="E172" s="47"/>
      <c r="F172" s="4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46"/>
      <c r="C173" s="47"/>
      <c r="D173" s="47"/>
      <c r="E173" s="47"/>
      <c r="F173" s="4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46"/>
      <c r="C174" s="47"/>
      <c r="D174" s="47"/>
      <c r="E174" s="47"/>
      <c r="F174" s="4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46"/>
      <c r="C175" s="47"/>
      <c r="D175" s="47"/>
      <c r="E175" s="47"/>
      <c r="F175" s="4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46"/>
      <c r="C176" s="47"/>
      <c r="D176" s="47"/>
      <c r="E176" s="47"/>
      <c r="F176" s="4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46"/>
      <c r="C177" s="47"/>
      <c r="D177" s="47"/>
      <c r="E177" s="47"/>
      <c r="F177" s="4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46"/>
      <c r="C178" s="47"/>
      <c r="D178" s="47"/>
      <c r="E178" s="47"/>
      <c r="F178" s="4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46"/>
      <c r="C179" s="47"/>
      <c r="D179" s="47"/>
      <c r="E179" s="47"/>
      <c r="F179" s="4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46"/>
      <c r="C180" s="47"/>
      <c r="D180" s="47"/>
      <c r="E180" s="47"/>
      <c r="F180" s="4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46"/>
      <c r="C181" s="47"/>
      <c r="D181" s="47"/>
      <c r="E181" s="47"/>
      <c r="F181" s="4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46"/>
      <c r="C182" s="47"/>
      <c r="D182" s="47"/>
      <c r="E182" s="47"/>
      <c r="F182" s="4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46"/>
      <c r="C183" s="47"/>
      <c r="D183" s="47"/>
      <c r="E183" s="47"/>
      <c r="F183" s="4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46"/>
      <c r="C184" s="47"/>
      <c r="D184" s="47"/>
      <c r="E184" s="47"/>
      <c r="F184" s="4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46"/>
      <c r="C185" s="47"/>
      <c r="D185" s="47"/>
      <c r="E185" s="47"/>
      <c r="F185" s="4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46"/>
      <c r="C186" s="47"/>
      <c r="D186" s="47"/>
      <c r="E186" s="47"/>
      <c r="F186" s="4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46"/>
      <c r="C187" s="47"/>
      <c r="D187" s="47"/>
      <c r="E187" s="47"/>
      <c r="F187" s="4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46"/>
      <c r="C188" s="47"/>
      <c r="D188" s="47"/>
      <c r="E188" s="47"/>
      <c r="F188" s="4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46"/>
      <c r="C189" s="47"/>
      <c r="D189" s="47"/>
      <c r="E189" s="47"/>
      <c r="F189" s="4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46"/>
      <c r="C190" s="47"/>
      <c r="D190" s="47"/>
      <c r="E190" s="47"/>
      <c r="F190" s="4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46"/>
      <c r="C191" s="47"/>
      <c r="D191" s="47"/>
      <c r="E191" s="47"/>
      <c r="F191" s="4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46"/>
      <c r="C192" s="47"/>
      <c r="D192" s="47"/>
      <c r="E192" s="47"/>
      <c r="F192" s="4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46"/>
      <c r="C193" s="47"/>
      <c r="D193" s="47"/>
      <c r="E193" s="47"/>
      <c r="F193" s="4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46"/>
      <c r="C194" s="47"/>
      <c r="D194" s="47"/>
      <c r="E194" s="47"/>
      <c r="F194" s="4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46"/>
      <c r="C195" s="47"/>
      <c r="D195" s="47"/>
      <c r="E195" s="47"/>
      <c r="F195" s="4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46"/>
      <c r="C196" s="47"/>
      <c r="D196" s="47"/>
      <c r="E196" s="47"/>
      <c r="F196" s="4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46"/>
      <c r="C197" s="47"/>
      <c r="D197" s="47"/>
      <c r="E197" s="47"/>
      <c r="F197" s="4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46"/>
      <c r="C198" s="47"/>
      <c r="D198" s="47"/>
      <c r="E198" s="47"/>
      <c r="F198" s="4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46"/>
      <c r="C199" s="47"/>
      <c r="D199" s="47"/>
      <c r="E199" s="47"/>
      <c r="F199" s="4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46"/>
      <c r="C200" s="47"/>
      <c r="D200" s="47"/>
      <c r="E200" s="47"/>
      <c r="F200" s="4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46"/>
      <c r="C201" s="47"/>
      <c r="D201" s="47"/>
      <c r="E201" s="47"/>
      <c r="F201" s="4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46"/>
      <c r="C202" s="47"/>
      <c r="D202" s="47"/>
      <c r="E202" s="47"/>
      <c r="F202" s="4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46"/>
      <c r="C203" s="47"/>
      <c r="D203" s="47"/>
      <c r="E203" s="47"/>
      <c r="F203" s="4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46"/>
      <c r="C204" s="47"/>
      <c r="D204" s="47"/>
      <c r="E204" s="47"/>
      <c r="F204" s="4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46"/>
      <c r="C205" s="47"/>
      <c r="D205" s="47"/>
      <c r="E205" s="47"/>
      <c r="F205" s="4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46"/>
      <c r="C206" s="47"/>
      <c r="D206" s="47"/>
      <c r="E206" s="47"/>
      <c r="F206" s="4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46"/>
      <c r="C207" s="47"/>
      <c r="D207" s="47"/>
      <c r="E207" s="47"/>
      <c r="F207" s="4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Producer_Consumer!A1" display="Producer_Consumer" xr:uid="{00000000-0004-0000-0200-000000000000}"/>
  </hyperlinks>
  <pageMargins left="0.74791666666666667" right="0.74791666666666667" top="0.98402777777777783" bottom="1.1506944444444445" header="0" footer="0"/>
  <pageSetup paperSize="9" orientation="landscape"/>
  <headerFooter>
    <oddFooter>&amp;L 02ae-BM/PM/HDCV/FSOFT v2/0&amp;CInternal use&amp;R&amp;P/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9"/>
  <sheetViews>
    <sheetView tabSelected="1" topLeftCell="A4" zoomScale="85" zoomScaleNormal="85" workbookViewId="0">
      <pane xSplit="1" topLeftCell="B1" activePane="topRight" state="frozen"/>
      <selection pane="topRight" activeCell="M21" sqref="M21"/>
    </sheetView>
  </sheetViews>
  <sheetFormatPr defaultColWidth="12.6640625" defaultRowHeight="15" customHeight="1" x14ac:dyDescent="0.2"/>
  <cols>
    <col min="1" max="1" width="21.6640625" customWidth="1"/>
    <col min="2" max="2" width="36.88671875" bestFit="1" customWidth="1"/>
    <col min="3" max="3" width="36.88671875" customWidth="1"/>
    <col min="4" max="4" width="42.33203125" bestFit="1" customWidth="1"/>
    <col min="5" max="6" width="42.5546875" bestFit="1" customWidth="1"/>
    <col min="7" max="7" width="9.44140625" customWidth="1"/>
    <col min="8" max="8" width="11.109375" customWidth="1"/>
    <col min="9" max="9" width="14.88671875" bestFit="1" customWidth="1"/>
    <col min="10" max="10" width="9.109375" customWidth="1"/>
    <col min="11" max="12" width="8.44140625" customWidth="1"/>
  </cols>
  <sheetData>
    <row r="1" spans="1:26" ht="14.4" thickBot="1" x14ac:dyDescent="0.3">
      <c r="A1" s="7"/>
      <c r="B1" s="7"/>
      <c r="C1" s="89"/>
      <c r="D1" s="7"/>
      <c r="E1" s="7"/>
      <c r="F1" s="7"/>
      <c r="G1" s="7"/>
      <c r="H1" s="66"/>
      <c r="I1" s="66"/>
      <c r="J1" s="66"/>
      <c r="K1" s="66"/>
      <c r="L1" s="67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3.8" x14ac:dyDescent="0.25">
      <c r="A2" s="68" t="s">
        <v>40</v>
      </c>
      <c r="B2" s="101" t="s">
        <v>72</v>
      </c>
      <c r="C2" s="131"/>
      <c r="D2" s="102"/>
      <c r="E2" s="102"/>
      <c r="F2" s="103"/>
      <c r="G2" s="69"/>
      <c r="H2" s="66"/>
      <c r="I2" s="66"/>
      <c r="J2" s="66"/>
      <c r="K2" s="66"/>
      <c r="L2" s="67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3.8" x14ac:dyDescent="0.25">
      <c r="A3" s="70" t="s">
        <v>41</v>
      </c>
      <c r="B3" s="104"/>
      <c r="C3" s="132"/>
      <c r="D3" s="105"/>
      <c r="E3" s="105"/>
      <c r="F3" s="107"/>
      <c r="G3" s="71"/>
      <c r="H3" s="66"/>
      <c r="I3" s="66"/>
      <c r="J3" s="66"/>
      <c r="K3" s="66"/>
      <c r="L3" s="67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3.8" x14ac:dyDescent="0.25">
      <c r="A4" s="70" t="s">
        <v>42</v>
      </c>
      <c r="B4" s="104"/>
      <c r="C4" s="132"/>
      <c r="D4" s="105"/>
      <c r="E4" s="105"/>
      <c r="F4" s="107"/>
      <c r="G4" s="71"/>
      <c r="H4" s="66"/>
      <c r="I4" s="66"/>
      <c r="J4" s="66"/>
      <c r="K4" s="66"/>
      <c r="L4" s="67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39.6" x14ac:dyDescent="0.25">
      <c r="A5" s="72" t="s">
        <v>28</v>
      </c>
      <c r="B5" s="73" t="s">
        <v>24</v>
      </c>
      <c r="C5" s="73"/>
      <c r="D5" s="73" t="s">
        <v>25</v>
      </c>
      <c r="E5" s="73" t="s">
        <v>26</v>
      </c>
      <c r="F5" s="73" t="s">
        <v>18</v>
      </c>
      <c r="G5" s="74" t="s">
        <v>43</v>
      </c>
      <c r="H5" s="66"/>
      <c r="I5" s="66"/>
      <c r="J5" s="66"/>
      <c r="K5" s="66"/>
      <c r="L5" s="67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thickBot="1" x14ac:dyDescent="0.35">
      <c r="A6" s="75">
        <f>AVERAGE(L:L)</f>
        <v>0.83333333333333337</v>
      </c>
      <c r="B6" s="76">
        <f>COUNTIF(G11:G1000,"Pass")</f>
        <v>10</v>
      </c>
      <c r="C6" s="76"/>
      <c r="D6" s="76">
        <f>COUNTIF(G11:G1000,"Fail")</f>
        <v>2</v>
      </c>
      <c r="E6" s="76">
        <f>G6-F6-D6-B6</f>
        <v>0</v>
      </c>
      <c r="F6" s="76">
        <f>COUNTIF(G11:G1000,"N/A")</f>
        <v>0</v>
      </c>
      <c r="G6" s="77">
        <f>COUNTA(A11:A1000)</f>
        <v>12</v>
      </c>
      <c r="H6" s="66"/>
      <c r="I6" s="66"/>
      <c r="J6" s="66"/>
      <c r="K6" s="66"/>
      <c r="L6" s="67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3.8" x14ac:dyDescent="0.25">
      <c r="A7" s="78"/>
      <c r="B7" s="78"/>
      <c r="C7" s="90"/>
      <c r="D7" s="78"/>
      <c r="E7" s="78"/>
      <c r="F7" s="78"/>
      <c r="G7" s="44"/>
      <c r="H7" s="66"/>
      <c r="I7" s="66"/>
      <c r="J7" s="66"/>
      <c r="K7" s="66"/>
      <c r="L7" s="67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6.75" customHeight="1" x14ac:dyDescent="0.25">
      <c r="H8" s="66"/>
      <c r="I8" s="66"/>
      <c r="J8" s="66"/>
      <c r="K8" s="66"/>
      <c r="L8" s="67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26.4" x14ac:dyDescent="0.2">
      <c r="A9" s="79" t="s">
        <v>44</v>
      </c>
      <c r="B9" s="79" t="s">
        <v>45</v>
      </c>
      <c r="C9" s="79" t="s">
        <v>83</v>
      </c>
      <c r="D9" s="79" t="s">
        <v>46</v>
      </c>
      <c r="E9" s="79" t="s">
        <v>47</v>
      </c>
      <c r="F9" s="91" t="s">
        <v>57</v>
      </c>
      <c r="G9" s="79" t="s">
        <v>48</v>
      </c>
      <c r="H9" s="79" t="s">
        <v>49</v>
      </c>
      <c r="I9" s="79" t="s">
        <v>50</v>
      </c>
      <c r="J9" s="80" t="s">
        <v>51</v>
      </c>
      <c r="K9" s="81" t="s">
        <v>52</v>
      </c>
      <c r="L9" s="82" t="s">
        <v>53</v>
      </c>
    </row>
    <row r="10" spans="1:26" ht="13.2" x14ac:dyDescent="0.2">
      <c r="A10" s="80"/>
      <c r="B10" s="97"/>
      <c r="C10" s="97"/>
      <c r="D10" s="97"/>
      <c r="E10" s="97"/>
      <c r="F10" s="98"/>
      <c r="G10" s="97"/>
      <c r="H10" s="97"/>
      <c r="I10" s="97"/>
      <c r="J10" s="97"/>
      <c r="K10" s="99"/>
      <c r="L10" s="100"/>
    </row>
    <row r="11" spans="1:26" ht="13.2" x14ac:dyDescent="0.2">
      <c r="A11" s="83" t="s">
        <v>58</v>
      </c>
      <c r="B11" s="87" t="s">
        <v>73</v>
      </c>
      <c r="C11" s="87" t="s">
        <v>84</v>
      </c>
      <c r="D11" s="88" t="s">
        <v>92</v>
      </c>
      <c r="E11" s="87" t="s">
        <v>102</v>
      </c>
      <c r="F11" s="87"/>
      <c r="G11" s="87" t="s">
        <v>24</v>
      </c>
      <c r="H11" s="95">
        <v>46056</v>
      </c>
      <c r="I11" s="96" t="s">
        <v>54</v>
      </c>
      <c r="J11" s="84">
        <v>1</v>
      </c>
      <c r="K11" s="84">
        <v>1</v>
      </c>
      <c r="L11" s="85">
        <f t="shared" ref="L11:L19" si="0">K11/J11</f>
        <v>1</v>
      </c>
    </row>
    <row r="12" spans="1:26" ht="26.4" x14ac:dyDescent="0.2">
      <c r="A12" s="83" t="s">
        <v>59</v>
      </c>
      <c r="B12" s="87" t="s">
        <v>74</v>
      </c>
      <c r="C12" s="87" t="s">
        <v>85</v>
      </c>
      <c r="D12" s="88" t="s">
        <v>93</v>
      </c>
      <c r="E12" s="87" t="s">
        <v>103</v>
      </c>
      <c r="F12" s="87"/>
      <c r="G12" s="87" t="s">
        <v>24</v>
      </c>
      <c r="H12" s="95">
        <v>46056</v>
      </c>
      <c r="I12" s="96" t="s">
        <v>54</v>
      </c>
      <c r="J12" s="84">
        <v>1</v>
      </c>
      <c r="K12" s="84">
        <v>1</v>
      </c>
      <c r="L12" s="85">
        <f t="shared" si="0"/>
        <v>1</v>
      </c>
    </row>
    <row r="13" spans="1:26" ht="13.2" x14ac:dyDescent="0.2">
      <c r="A13" s="88" t="s">
        <v>60</v>
      </c>
      <c r="B13" s="87" t="s">
        <v>75</v>
      </c>
      <c r="C13" s="87" t="s">
        <v>86</v>
      </c>
      <c r="D13" s="88" t="s">
        <v>94</v>
      </c>
      <c r="E13" s="87" t="s">
        <v>104</v>
      </c>
      <c r="F13" s="87"/>
      <c r="G13" s="87" t="s">
        <v>24</v>
      </c>
      <c r="H13" s="95">
        <v>46056</v>
      </c>
      <c r="I13" s="96" t="s">
        <v>54</v>
      </c>
      <c r="J13" s="84">
        <v>1</v>
      </c>
      <c r="K13" s="84">
        <v>1</v>
      </c>
      <c r="L13" s="85">
        <f>K13/J13</f>
        <v>1</v>
      </c>
    </row>
    <row r="14" spans="1:26" ht="26.4" x14ac:dyDescent="0.2">
      <c r="A14" s="83" t="s">
        <v>61</v>
      </c>
      <c r="B14" s="87" t="s">
        <v>76</v>
      </c>
      <c r="C14" s="87" t="s">
        <v>84</v>
      </c>
      <c r="D14" s="88" t="s">
        <v>95</v>
      </c>
      <c r="E14" s="87" t="s">
        <v>105</v>
      </c>
      <c r="F14" s="87"/>
      <c r="G14" s="87" t="s">
        <v>24</v>
      </c>
      <c r="H14" s="95">
        <v>46056</v>
      </c>
      <c r="I14" s="96" t="s">
        <v>54</v>
      </c>
      <c r="J14" s="84">
        <v>1</v>
      </c>
      <c r="K14" s="84">
        <v>1</v>
      </c>
      <c r="L14" s="85">
        <f t="shared" si="0"/>
        <v>1</v>
      </c>
    </row>
    <row r="15" spans="1:26" ht="13.2" x14ac:dyDescent="0.2">
      <c r="A15" s="83" t="s">
        <v>62</v>
      </c>
      <c r="B15" s="87" t="s">
        <v>77</v>
      </c>
      <c r="C15" s="87" t="s">
        <v>87</v>
      </c>
      <c r="D15" s="88" t="s">
        <v>96</v>
      </c>
      <c r="E15" s="87" t="s">
        <v>106</v>
      </c>
      <c r="F15" s="87"/>
      <c r="G15" s="87" t="s">
        <v>24</v>
      </c>
      <c r="H15" s="95">
        <v>46056</v>
      </c>
      <c r="I15" s="96" t="s">
        <v>54</v>
      </c>
      <c r="J15" s="84">
        <v>1</v>
      </c>
      <c r="K15" s="84">
        <v>1</v>
      </c>
      <c r="L15" s="85">
        <f t="shared" si="0"/>
        <v>1</v>
      </c>
    </row>
    <row r="16" spans="1:26" ht="26.4" x14ac:dyDescent="0.2">
      <c r="A16" s="83" t="s">
        <v>63</v>
      </c>
      <c r="B16" s="87" t="s">
        <v>78</v>
      </c>
      <c r="C16" s="87" t="s">
        <v>88</v>
      </c>
      <c r="D16" s="88" t="s">
        <v>97</v>
      </c>
      <c r="E16" s="87" t="s">
        <v>107</v>
      </c>
      <c r="F16" s="87"/>
      <c r="G16" s="87" t="s">
        <v>24</v>
      </c>
      <c r="H16" s="95">
        <v>46056</v>
      </c>
      <c r="I16" s="96" t="s">
        <v>54</v>
      </c>
      <c r="J16" s="84">
        <v>1</v>
      </c>
      <c r="K16" s="84">
        <v>1</v>
      </c>
      <c r="L16" s="85">
        <f t="shared" si="0"/>
        <v>1</v>
      </c>
    </row>
    <row r="17" spans="1:12" ht="13.2" x14ac:dyDescent="0.2">
      <c r="A17" s="83" t="s">
        <v>64</v>
      </c>
      <c r="B17" s="87" t="s">
        <v>79</v>
      </c>
      <c r="C17" s="87" t="s">
        <v>89</v>
      </c>
      <c r="D17" s="88" t="s">
        <v>98</v>
      </c>
      <c r="E17" s="87" t="s">
        <v>111</v>
      </c>
      <c r="F17" s="87"/>
      <c r="G17" s="87" t="s">
        <v>24</v>
      </c>
      <c r="H17" s="95">
        <v>46056</v>
      </c>
      <c r="I17" s="96" t="s">
        <v>54</v>
      </c>
      <c r="J17" s="84">
        <v>1</v>
      </c>
      <c r="K17" s="84">
        <v>1</v>
      </c>
      <c r="L17" s="85">
        <f t="shared" si="0"/>
        <v>1</v>
      </c>
    </row>
    <row r="18" spans="1:12" ht="13.2" x14ac:dyDescent="0.2">
      <c r="A18" s="83" t="s">
        <v>65</v>
      </c>
      <c r="B18" s="87" t="s">
        <v>80</v>
      </c>
      <c r="C18" s="87" t="s">
        <v>90</v>
      </c>
      <c r="D18" s="88" t="s">
        <v>99</v>
      </c>
      <c r="E18" s="87" t="s">
        <v>110</v>
      </c>
      <c r="F18" s="87"/>
      <c r="G18" s="87" t="s">
        <v>24</v>
      </c>
      <c r="H18" s="95">
        <v>46056</v>
      </c>
      <c r="I18" s="96" t="s">
        <v>54</v>
      </c>
      <c r="J18" s="84">
        <v>1</v>
      </c>
      <c r="K18" s="84">
        <v>1</v>
      </c>
      <c r="L18" s="85">
        <f t="shared" si="0"/>
        <v>1</v>
      </c>
    </row>
    <row r="19" spans="1:12" ht="13.2" x14ac:dyDescent="0.2">
      <c r="A19" s="83" t="s">
        <v>66</v>
      </c>
      <c r="B19" s="87" t="s">
        <v>81</v>
      </c>
      <c r="C19" s="87" t="s">
        <v>84</v>
      </c>
      <c r="D19" s="88" t="s">
        <v>100</v>
      </c>
      <c r="E19" s="87" t="s">
        <v>109</v>
      </c>
      <c r="F19" s="87"/>
      <c r="G19" s="87" t="s">
        <v>24</v>
      </c>
      <c r="H19" s="95">
        <v>46056</v>
      </c>
      <c r="I19" s="96" t="s">
        <v>54</v>
      </c>
      <c r="J19" s="84">
        <v>1</v>
      </c>
      <c r="K19" s="84">
        <v>1</v>
      </c>
      <c r="L19" s="85">
        <f t="shared" si="0"/>
        <v>1</v>
      </c>
    </row>
    <row r="20" spans="1:12" ht="26.4" customHeight="1" x14ac:dyDescent="0.2">
      <c r="A20" s="83" t="s">
        <v>67</v>
      </c>
      <c r="B20" s="87" t="s">
        <v>82</v>
      </c>
      <c r="C20" s="87" t="s">
        <v>91</v>
      </c>
      <c r="D20" s="88" t="s">
        <v>101</v>
      </c>
      <c r="E20" s="87" t="s">
        <v>108</v>
      </c>
      <c r="F20" s="87"/>
      <c r="G20" s="87" t="s">
        <v>24</v>
      </c>
      <c r="H20" s="95">
        <v>46056</v>
      </c>
      <c r="I20" s="96" t="s">
        <v>54</v>
      </c>
      <c r="J20" s="84">
        <v>1</v>
      </c>
      <c r="K20" s="84">
        <v>1</v>
      </c>
      <c r="L20" s="85">
        <f>K20/J20</f>
        <v>1</v>
      </c>
    </row>
    <row r="21" spans="1:12" ht="26.4" x14ac:dyDescent="0.2">
      <c r="A21" s="88" t="s">
        <v>112</v>
      </c>
      <c r="B21" s="87" t="s">
        <v>113</v>
      </c>
      <c r="C21" s="88" t="s">
        <v>114</v>
      </c>
      <c r="D21" s="87" t="s">
        <v>119</v>
      </c>
      <c r="E21" s="88" t="s">
        <v>115</v>
      </c>
      <c r="F21" s="87"/>
      <c r="G21" s="87" t="s">
        <v>25</v>
      </c>
      <c r="H21" s="95">
        <v>46056</v>
      </c>
      <c r="I21" s="96" t="s">
        <v>54</v>
      </c>
      <c r="J21" s="84">
        <v>1</v>
      </c>
      <c r="K21" s="87">
        <v>0</v>
      </c>
      <c r="L21" s="133">
        <f>K21/J21</f>
        <v>0</v>
      </c>
    </row>
    <row r="22" spans="1:12" ht="26.4" x14ac:dyDescent="0.2">
      <c r="A22" s="88" t="s">
        <v>68</v>
      </c>
      <c r="B22" s="87" t="s">
        <v>116</v>
      </c>
      <c r="C22" s="88" t="s">
        <v>114</v>
      </c>
      <c r="D22" s="87" t="s">
        <v>117</v>
      </c>
      <c r="E22" s="88" t="s">
        <v>118</v>
      </c>
      <c r="F22" s="87"/>
      <c r="G22" s="87" t="s">
        <v>25</v>
      </c>
      <c r="H22" s="95">
        <v>46056</v>
      </c>
      <c r="I22" s="96" t="s">
        <v>54</v>
      </c>
      <c r="J22" s="84">
        <v>1</v>
      </c>
      <c r="K22" s="87">
        <v>0</v>
      </c>
      <c r="L22" s="133">
        <f>K22/J22</f>
        <v>0</v>
      </c>
    </row>
    <row r="23" spans="1:12" ht="13.2" x14ac:dyDescent="0.2"/>
    <row r="24" spans="1:12" ht="13.2" x14ac:dyDescent="0.2"/>
    <row r="25" spans="1:12" ht="13.2" x14ac:dyDescent="0.2"/>
    <row r="26" spans="1:12" ht="13.2" x14ac:dyDescent="0.2"/>
    <row r="27" spans="1:12" ht="15.75" customHeight="1" x14ac:dyDescent="0.2"/>
    <row r="28" spans="1:12" ht="15.75" customHeight="1" x14ac:dyDescent="0.2"/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3.2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spans="12:12" ht="15.75" customHeight="1" x14ac:dyDescent="0.2"/>
    <row r="50" spans="12:12" ht="15.75" customHeight="1" x14ac:dyDescent="0.2"/>
    <row r="51" spans="12:12" ht="15.75" customHeight="1" x14ac:dyDescent="0.2"/>
    <row r="52" spans="12:12" ht="15.75" customHeight="1" x14ac:dyDescent="0.2"/>
    <row r="53" spans="12:12" ht="15.75" customHeight="1" x14ac:dyDescent="0.2"/>
    <row r="54" spans="12:12" ht="15.75" customHeight="1" x14ac:dyDescent="0.2"/>
    <row r="55" spans="12:12" ht="15.75" customHeight="1" x14ac:dyDescent="0.2"/>
    <row r="56" spans="12:12" ht="15.75" customHeight="1" x14ac:dyDescent="0.2"/>
    <row r="57" spans="12:12" ht="15.75" customHeight="1" x14ac:dyDescent="0.2"/>
    <row r="58" spans="12:12" ht="15.75" customHeight="1" x14ac:dyDescent="0.2"/>
    <row r="59" spans="12:12" ht="15.75" customHeight="1" x14ac:dyDescent="0.2"/>
    <row r="60" spans="12:12" ht="15.75" customHeight="1" x14ac:dyDescent="0.2"/>
    <row r="61" spans="12:12" ht="15.75" customHeight="1" x14ac:dyDescent="0.2"/>
    <row r="62" spans="12:12" ht="15.75" customHeight="1" x14ac:dyDescent="0.3">
      <c r="L62" s="86"/>
    </row>
    <row r="63" spans="12:12" ht="15.75" customHeight="1" x14ac:dyDescent="0.3">
      <c r="L63" s="86"/>
    </row>
    <row r="64" spans="12:12" ht="15.75" customHeight="1" x14ac:dyDescent="0.3">
      <c r="L64" s="86"/>
    </row>
    <row r="65" spans="12:12" ht="15.75" customHeight="1" x14ac:dyDescent="0.3">
      <c r="L65" s="86"/>
    </row>
    <row r="66" spans="12:12" ht="15.75" customHeight="1" x14ac:dyDescent="0.3">
      <c r="L66" s="86"/>
    </row>
    <row r="67" spans="12:12" ht="15.75" customHeight="1" x14ac:dyDescent="0.3">
      <c r="L67" s="86"/>
    </row>
    <row r="68" spans="12:12" ht="15.75" customHeight="1" x14ac:dyDescent="0.3">
      <c r="L68" s="86"/>
    </row>
    <row r="69" spans="12:12" ht="15.75" customHeight="1" x14ac:dyDescent="0.3">
      <c r="L69" s="86"/>
    </row>
    <row r="70" spans="12:12" ht="15.75" customHeight="1" x14ac:dyDescent="0.3">
      <c r="L70" s="86"/>
    </row>
    <row r="71" spans="12:12" ht="15.75" customHeight="1" x14ac:dyDescent="0.3">
      <c r="L71" s="86"/>
    </row>
    <row r="72" spans="12:12" ht="15.75" customHeight="1" x14ac:dyDescent="0.3">
      <c r="L72" s="86"/>
    </row>
    <row r="73" spans="12:12" ht="15.75" customHeight="1" x14ac:dyDescent="0.3">
      <c r="L73" s="86"/>
    </row>
    <row r="74" spans="12:12" ht="15.75" customHeight="1" x14ac:dyDescent="0.3">
      <c r="L74" s="86"/>
    </row>
    <row r="75" spans="12:12" ht="15.75" customHeight="1" x14ac:dyDescent="0.3">
      <c r="L75" s="86"/>
    </row>
    <row r="76" spans="12:12" ht="15.75" customHeight="1" x14ac:dyDescent="0.3">
      <c r="L76" s="86"/>
    </row>
    <row r="77" spans="12:12" ht="15.75" customHeight="1" x14ac:dyDescent="0.3">
      <c r="L77" s="86"/>
    </row>
    <row r="78" spans="12:12" ht="15.75" customHeight="1" x14ac:dyDescent="0.3">
      <c r="L78" s="86"/>
    </row>
    <row r="79" spans="12:12" ht="15.75" customHeight="1" x14ac:dyDescent="0.3">
      <c r="L79" s="86"/>
    </row>
    <row r="80" spans="12:12" ht="15.75" customHeight="1" x14ac:dyDescent="0.3">
      <c r="L80" s="86"/>
    </row>
    <row r="81" spans="12:12" ht="15.75" customHeight="1" x14ac:dyDescent="0.3">
      <c r="L81" s="86"/>
    </row>
    <row r="82" spans="12:12" ht="15.75" customHeight="1" x14ac:dyDescent="0.3">
      <c r="L82" s="86"/>
    </row>
    <row r="83" spans="12:12" ht="15.75" customHeight="1" x14ac:dyDescent="0.3">
      <c r="L83" s="86"/>
    </row>
    <row r="84" spans="12:12" ht="15.75" customHeight="1" x14ac:dyDescent="0.3">
      <c r="L84" s="86"/>
    </row>
    <row r="85" spans="12:12" ht="15.75" customHeight="1" x14ac:dyDescent="0.3">
      <c r="L85" s="86"/>
    </row>
    <row r="86" spans="12:12" ht="15.75" customHeight="1" x14ac:dyDescent="0.3">
      <c r="L86" s="86"/>
    </row>
    <row r="87" spans="12:12" ht="15.75" customHeight="1" x14ac:dyDescent="0.3">
      <c r="L87" s="86"/>
    </row>
    <row r="88" spans="12:12" ht="15.75" customHeight="1" x14ac:dyDescent="0.3">
      <c r="L88" s="86"/>
    </row>
    <row r="89" spans="12:12" ht="15.75" customHeight="1" x14ac:dyDescent="0.3">
      <c r="L89" s="86"/>
    </row>
    <row r="90" spans="12:12" ht="15.75" customHeight="1" x14ac:dyDescent="0.3">
      <c r="L90" s="86"/>
    </row>
    <row r="91" spans="12:12" ht="15.75" customHeight="1" x14ac:dyDescent="0.3">
      <c r="L91" s="86"/>
    </row>
    <row r="92" spans="12:12" ht="15.75" customHeight="1" x14ac:dyDescent="0.3">
      <c r="L92" s="86"/>
    </row>
    <row r="93" spans="12:12" ht="15.75" customHeight="1" x14ac:dyDescent="0.3">
      <c r="L93" s="86"/>
    </row>
    <row r="94" spans="12:12" ht="15.75" customHeight="1" x14ac:dyDescent="0.3">
      <c r="L94" s="86"/>
    </row>
    <row r="95" spans="12:12" ht="15.75" customHeight="1" x14ac:dyDescent="0.3">
      <c r="L95" s="86"/>
    </row>
    <row r="96" spans="12:12" ht="15.75" customHeight="1" x14ac:dyDescent="0.3">
      <c r="L96" s="86"/>
    </row>
    <row r="97" spans="12:12" ht="15.75" customHeight="1" x14ac:dyDescent="0.3">
      <c r="L97" s="86"/>
    </row>
    <row r="98" spans="12:12" ht="15.75" customHeight="1" x14ac:dyDescent="0.3">
      <c r="L98" s="86"/>
    </row>
    <row r="99" spans="12:12" ht="15.75" customHeight="1" x14ac:dyDescent="0.3">
      <c r="L99" s="86"/>
    </row>
    <row r="100" spans="12:12" ht="15.75" customHeight="1" x14ac:dyDescent="0.3">
      <c r="L100" s="86"/>
    </row>
    <row r="101" spans="12:12" ht="15.75" customHeight="1" x14ac:dyDescent="0.3">
      <c r="L101" s="86"/>
    </row>
    <row r="102" spans="12:12" ht="15.75" customHeight="1" x14ac:dyDescent="0.3">
      <c r="L102" s="86"/>
    </row>
    <row r="103" spans="12:12" ht="15.75" customHeight="1" x14ac:dyDescent="0.3">
      <c r="L103" s="86"/>
    </row>
    <row r="104" spans="12:12" ht="15.75" customHeight="1" x14ac:dyDescent="0.3">
      <c r="L104" s="86"/>
    </row>
    <row r="105" spans="12:12" ht="15.75" customHeight="1" x14ac:dyDescent="0.3">
      <c r="L105" s="86"/>
    </row>
    <row r="106" spans="12:12" ht="15.75" customHeight="1" x14ac:dyDescent="0.3">
      <c r="L106" s="86"/>
    </row>
    <row r="107" spans="12:12" ht="15.75" customHeight="1" x14ac:dyDescent="0.3">
      <c r="L107" s="86"/>
    </row>
    <row r="108" spans="12:12" ht="15.75" customHeight="1" x14ac:dyDescent="0.3">
      <c r="L108" s="86"/>
    </row>
    <row r="109" spans="12:12" ht="15.75" customHeight="1" x14ac:dyDescent="0.3">
      <c r="L109" s="86"/>
    </row>
    <row r="110" spans="12:12" ht="15.75" customHeight="1" x14ac:dyDescent="0.3">
      <c r="L110" s="86"/>
    </row>
    <row r="111" spans="12:12" ht="15.75" customHeight="1" x14ac:dyDescent="0.3">
      <c r="L111" s="86"/>
    </row>
    <row r="112" spans="12:12" ht="15.75" customHeight="1" x14ac:dyDescent="0.3">
      <c r="L112" s="86"/>
    </row>
    <row r="113" spans="12:12" ht="15.75" customHeight="1" x14ac:dyDescent="0.3">
      <c r="L113" s="86"/>
    </row>
    <row r="114" spans="12:12" ht="15.75" customHeight="1" x14ac:dyDescent="0.3">
      <c r="L114" s="86"/>
    </row>
    <row r="115" spans="12:12" ht="15.75" customHeight="1" x14ac:dyDescent="0.3">
      <c r="L115" s="86"/>
    </row>
    <row r="116" spans="12:12" ht="15.75" customHeight="1" x14ac:dyDescent="0.3">
      <c r="L116" s="86"/>
    </row>
    <row r="117" spans="12:12" ht="15.75" customHeight="1" x14ac:dyDescent="0.3">
      <c r="L117" s="86"/>
    </row>
    <row r="118" spans="12:12" ht="15.75" customHeight="1" x14ac:dyDescent="0.3">
      <c r="L118" s="86"/>
    </row>
    <row r="119" spans="12:12" ht="15.75" customHeight="1" x14ac:dyDescent="0.3">
      <c r="L119" s="86"/>
    </row>
    <row r="120" spans="12:12" ht="15.75" customHeight="1" x14ac:dyDescent="0.3">
      <c r="L120" s="86"/>
    </row>
    <row r="121" spans="12:12" ht="15.75" customHeight="1" x14ac:dyDescent="0.3">
      <c r="L121" s="86"/>
    </row>
    <row r="122" spans="12:12" ht="15.75" customHeight="1" x14ac:dyDescent="0.3">
      <c r="L122" s="86"/>
    </row>
    <row r="123" spans="12:12" ht="15.75" customHeight="1" x14ac:dyDescent="0.3">
      <c r="L123" s="86"/>
    </row>
    <row r="124" spans="12:12" ht="15.75" customHeight="1" x14ac:dyDescent="0.3">
      <c r="L124" s="86"/>
    </row>
    <row r="125" spans="12:12" ht="15.75" customHeight="1" x14ac:dyDescent="0.3">
      <c r="L125" s="86"/>
    </row>
    <row r="126" spans="12:12" ht="15.75" customHeight="1" x14ac:dyDescent="0.3">
      <c r="L126" s="86"/>
    </row>
    <row r="127" spans="12:12" ht="15.75" customHeight="1" x14ac:dyDescent="0.3">
      <c r="L127" s="86"/>
    </row>
    <row r="128" spans="12:12" ht="15.75" customHeight="1" x14ac:dyDescent="0.3">
      <c r="L128" s="86"/>
    </row>
    <row r="129" spans="12:12" ht="15.75" customHeight="1" x14ac:dyDescent="0.3">
      <c r="L129" s="86"/>
    </row>
    <row r="130" spans="12:12" ht="15.75" customHeight="1" x14ac:dyDescent="0.3">
      <c r="L130" s="86"/>
    </row>
    <row r="131" spans="12:12" ht="15.75" customHeight="1" x14ac:dyDescent="0.3">
      <c r="L131" s="86"/>
    </row>
    <row r="132" spans="12:12" ht="15.75" customHeight="1" x14ac:dyDescent="0.3">
      <c r="L132" s="86"/>
    </row>
    <row r="133" spans="12:12" ht="15.75" customHeight="1" x14ac:dyDescent="0.3">
      <c r="L133" s="86"/>
    </row>
    <row r="134" spans="12:12" ht="15.75" customHeight="1" x14ac:dyDescent="0.3">
      <c r="L134" s="86"/>
    </row>
    <row r="135" spans="12:12" ht="15.75" customHeight="1" x14ac:dyDescent="0.3">
      <c r="L135" s="86"/>
    </row>
    <row r="136" spans="12:12" ht="15.75" customHeight="1" x14ac:dyDescent="0.3">
      <c r="L136" s="86"/>
    </row>
    <row r="137" spans="12:12" ht="15.75" customHeight="1" x14ac:dyDescent="0.3">
      <c r="L137" s="86"/>
    </row>
    <row r="138" spans="12:12" ht="15.75" customHeight="1" x14ac:dyDescent="0.3">
      <c r="L138" s="86"/>
    </row>
    <row r="139" spans="12:12" ht="15.75" customHeight="1" x14ac:dyDescent="0.3">
      <c r="L139" s="86"/>
    </row>
    <row r="140" spans="12:12" ht="15.75" customHeight="1" x14ac:dyDescent="0.3">
      <c r="L140" s="86"/>
    </row>
    <row r="141" spans="12:12" ht="15.75" customHeight="1" x14ac:dyDescent="0.3">
      <c r="L141" s="86"/>
    </row>
    <row r="142" spans="12:12" ht="15.75" customHeight="1" x14ac:dyDescent="0.3">
      <c r="L142" s="86"/>
    </row>
    <row r="143" spans="12:12" ht="15.75" customHeight="1" x14ac:dyDescent="0.3">
      <c r="L143" s="86"/>
    </row>
    <row r="144" spans="12:12" ht="15.75" customHeight="1" x14ac:dyDescent="0.3">
      <c r="L144" s="86"/>
    </row>
    <row r="145" spans="12:12" ht="15.75" customHeight="1" x14ac:dyDescent="0.3">
      <c r="L145" s="86"/>
    </row>
    <row r="146" spans="12:12" ht="15.75" customHeight="1" x14ac:dyDescent="0.3">
      <c r="L146" s="86"/>
    </row>
    <row r="147" spans="12:12" ht="15.75" customHeight="1" x14ac:dyDescent="0.3">
      <c r="L147" s="86"/>
    </row>
    <row r="148" spans="12:12" ht="15.75" customHeight="1" x14ac:dyDescent="0.3">
      <c r="L148" s="86"/>
    </row>
    <row r="149" spans="12:12" ht="15.75" customHeight="1" x14ac:dyDescent="0.3">
      <c r="L149" s="86"/>
    </row>
    <row r="150" spans="12:12" ht="15.75" customHeight="1" x14ac:dyDescent="0.3">
      <c r="L150" s="86"/>
    </row>
    <row r="151" spans="12:12" ht="15.75" customHeight="1" x14ac:dyDescent="0.3">
      <c r="L151" s="86"/>
    </row>
    <row r="152" spans="12:12" ht="15.75" customHeight="1" x14ac:dyDescent="0.3">
      <c r="L152" s="86"/>
    </row>
    <row r="153" spans="12:12" ht="15.75" customHeight="1" x14ac:dyDescent="0.3">
      <c r="L153" s="86"/>
    </row>
    <row r="154" spans="12:12" ht="15.75" customHeight="1" x14ac:dyDescent="0.3">
      <c r="L154" s="86"/>
    </row>
    <row r="155" spans="12:12" ht="15.75" customHeight="1" x14ac:dyDescent="0.3">
      <c r="L155" s="86"/>
    </row>
    <row r="156" spans="12:12" ht="15.75" customHeight="1" x14ac:dyDescent="0.3">
      <c r="L156" s="86"/>
    </row>
    <row r="157" spans="12:12" ht="15.75" customHeight="1" x14ac:dyDescent="0.3">
      <c r="L157" s="86"/>
    </row>
    <row r="158" spans="12:12" ht="15.75" customHeight="1" x14ac:dyDescent="0.3">
      <c r="L158" s="86"/>
    </row>
    <row r="159" spans="12:12" ht="15.75" customHeight="1" x14ac:dyDescent="0.3">
      <c r="L159" s="86"/>
    </row>
    <row r="160" spans="12:12" ht="15.75" customHeight="1" x14ac:dyDescent="0.3">
      <c r="L160" s="86"/>
    </row>
    <row r="161" spans="12:12" ht="15.75" customHeight="1" x14ac:dyDescent="0.3">
      <c r="L161" s="86"/>
    </row>
    <row r="162" spans="12:12" ht="15.75" customHeight="1" x14ac:dyDescent="0.3">
      <c r="L162" s="86"/>
    </row>
    <row r="163" spans="12:12" ht="15.75" customHeight="1" x14ac:dyDescent="0.3">
      <c r="L163" s="86"/>
    </row>
    <row r="164" spans="12:12" ht="15.75" customHeight="1" x14ac:dyDescent="0.3">
      <c r="L164" s="86"/>
    </row>
    <row r="165" spans="12:12" ht="15.75" customHeight="1" x14ac:dyDescent="0.3">
      <c r="L165" s="86"/>
    </row>
    <row r="166" spans="12:12" ht="15.75" customHeight="1" x14ac:dyDescent="0.3">
      <c r="L166" s="86"/>
    </row>
    <row r="167" spans="12:12" ht="15.75" customHeight="1" x14ac:dyDescent="0.3">
      <c r="L167" s="86"/>
    </row>
    <row r="168" spans="12:12" ht="15.75" customHeight="1" x14ac:dyDescent="0.3">
      <c r="L168" s="86"/>
    </row>
    <row r="169" spans="12:12" ht="15.75" customHeight="1" x14ac:dyDescent="0.3">
      <c r="L169" s="86"/>
    </row>
    <row r="170" spans="12:12" ht="15.75" customHeight="1" x14ac:dyDescent="0.3">
      <c r="L170" s="86"/>
    </row>
    <row r="171" spans="12:12" ht="15.75" customHeight="1" x14ac:dyDescent="0.3">
      <c r="L171" s="86"/>
    </row>
    <row r="172" spans="12:12" ht="15.75" customHeight="1" x14ac:dyDescent="0.3">
      <c r="L172" s="86"/>
    </row>
    <row r="173" spans="12:12" ht="15.75" customHeight="1" x14ac:dyDescent="0.3">
      <c r="L173" s="86"/>
    </row>
    <row r="174" spans="12:12" ht="15.75" customHeight="1" x14ac:dyDescent="0.3">
      <c r="L174" s="86"/>
    </row>
    <row r="175" spans="12:12" ht="15.75" customHeight="1" x14ac:dyDescent="0.3">
      <c r="L175" s="86"/>
    </row>
    <row r="176" spans="12:12" ht="15.75" customHeight="1" x14ac:dyDescent="0.3">
      <c r="L176" s="86"/>
    </row>
    <row r="177" spans="12:12" ht="15.75" customHeight="1" x14ac:dyDescent="0.3">
      <c r="L177" s="86"/>
    </row>
    <row r="178" spans="12:12" ht="15.75" customHeight="1" x14ac:dyDescent="0.3">
      <c r="L178" s="86"/>
    </row>
    <row r="179" spans="12:12" ht="15.75" customHeight="1" x14ac:dyDescent="0.3">
      <c r="L179" s="86"/>
    </row>
    <row r="180" spans="12:12" ht="15.75" customHeight="1" x14ac:dyDescent="0.3">
      <c r="L180" s="86"/>
    </row>
    <row r="181" spans="12:12" ht="15.75" customHeight="1" x14ac:dyDescent="0.3">
      <c r="L181" s="86"/>
    </row>
    <row r="182" spans="12:12" ht="15.75" customHeight="1" x14ac:dyDescent="0.3">
      <c r="L182" s="86"/>
    </row>
    <row r="183" spans="12:12" ht="15.75" customHeight="1" x14ac:dyDescent="0.3">
      <c r="L183" s="86"/>
    </row>
    <row r="184" spans="12:12" ht="15.75" customHeight="1" x14ac:dyDescent="0.3">
      <c r="L184" s="86"/>
    </row>
    <row r="185" spans="12:12" ht="15.75" customHeight="1" x14ac:dyDescent="0.3">
      <c r="L185" s="86"/>
    </row>
    <row r="186" spans="12:12" ht="15.75" customHeight="1" x14ac:dyDescent="0.3">
      <c r="L186" s="86"/>
    </row>
    <row r="187" spans="12:12" ht="15.75" customHeight="1" x14ac:dyDescent="0.3">
      <c r="L187" s="86"/>
    </row>
    <row r="188" spans="12:12" ht="15.75" customHeight="1" x14ac:dyDescent="0.3">
      <c r="L188" s="86"/>
    </row>
    <row r="189" spans="12:12" ht="15.75" customHeight="1" x14ac:dyDescent="0.3">
      <c r="L189" s="86"/>
    </row>
    <row r="190" spans="12:12" ht="15.75" customHeight="1" x14ac:dyDescent="0.3">
      <c r="L190" s="86"/>
    </row>
    <row r="191" spans="12:12" ht="15.75" customHeight="1" x14ac:dyDescent="0.3">
      <c r="L191" s="86"/>
    </row>
    <row r="192" spans="12:12" ht="15.75" customHeight="1" x14ac:dyDescent="0.3">
      <c r="L192" s="86"/>
    </row>
    <row r="193" spans="12:12" ht="15.75" customHeight="1" x14ac:dyDescent="0.3">
      <c r="L193" s="86"/>
    </row>
    <row r="194" spans="12:12" ht="15.75" customHeight="1" x14ac:dyDescent="0.3">
      <c r="L194" s="86"/>
    </row>
    <row r="195" spans="12:12" ht="15.75" customHeight="1" x14ac:dyDescent="0.3">
      <c r="L195" s="86"/>
    </row>
    <row r="196" spans="12:12" ht="15.75" customHeight="1" x14ac:dyDescent="0.3">
      <c r="L196" s="86"/>
    </row>
    <row r="197" spans="12:12" ht="15.75" customHeight="1" x14ac:dyDescent="0.3">
      <c r="L197" s="86"/>
    </row>
    <row r="198" spans="12:12" ht="15.75" customHeight="1" x14ac:dyDescent="0.3">
      <c r="L198" s="86"/>
    </row>
    <row r="199" spans="12:12" ht="15.75" customHeight="1" x14ac:dyDescent="0.3">
      <c r="L199" s="86"/>
    </row>
    <row r="200" spans="12:12" ht="15.75" customHeight="1" x14ac:dyDescent="0.3">
      <c r="L200" s="86"/>
    </row>
    <row r="201" spans="12:12" ht="15.75" customHeight="1" x14ac:dyDescent="0.3">
      <c r="L201" s="86"/>
    </row>
    <row r="202" spans="12:12" ht="15.75" customHeight="1" x14ac:dyDescent="0.3">
      <c r="L202" s="86"/>
    </row>
    <row r="203" spans="12:12" ht="15.75" customHeight="1" x14ac:dyDescent="0.3">
      <c r="L203" s="86"/>
    </row>
    <row r="204" spans="12:12" ht="15.75" customHeight="1" x14ac:dyDescent="0.3">
      <c r="L204" s="86"/>
    </row>
    <row r="205" spans="12:12" ht="15.75" customHeight="1" x14ac:dyDescent="0.3">
      <c r="L205" s="86"/>
    </row>
    <row r="206" spans="12:12" ht="15.75" customHeight="1" x14ac:dyDescent="0.3">
      <c r="L206" s="86"/>
    </row>
    <row r="207" spans="12:12" ht="15.75" customHeight="1" x14ac:dyDescent="0.3">
      <c r="L207" s="86"/>
    </row>
    <row r="208" spans="12:12" ht="15.75" customHeight="1" x14ac:dyDescent="0.3">
      <c r="L208" s="86"/>
    </row>
    <row r="209" spans="12:12" ht="15.75" customHeight="1" x14ac:dyDescent="0.3">
      <c r="L209" s="86"/>
    </row>
    <row r="210" spans="12:12" ht="15.75" customHeight="1" x14ac:dyDescent="0.3">
      <c r="L210" s="86"/>
    </row>
    <row r="211" spans="12:12" ht="15.75" customHeight="1" x14ac:dyDescent="0.3">
      <c r="L211" s="86"/>
    </row>
    <row r="212" spans="12:12" ht="15.75" customHeight="1" x14ac:dyDescent="0.3">
      <c r="L212" s="86"/>
    </row>
    <row r="213" spans="12:12" ht="15.75" customHeight="1" x14ac:dyDescent="0.3">
      <c r="L213" s="86"/>
    </row>
    <row r="214" spans="12:12" ht="15.75" customHeight="1" x14ac:dyDescent="0.3">
      <c r="L214" s="86"/>
    </row>
    <row r="215" spans="12:12" ht="15.75" customHeight="1" x14ac:dyDescent="0.3">
      <c r="L215" s="86"/>
    </row>
    <row r="216" spans="12:12" ht="15.75" customHeight="1" x14ac:dyDescent="0.3">
      <c r="L216" s="86"/>
    </row>
    <row r="217" spans="12:12" ht="15.75" customHeight="1" x14ac:dyDescent="0.3">
      <c r="L217" s="86"/>
    </row>
    <row r="218" spans="12:12" ht="15.75" customHeight="1" x14ac:dyDescent="0.3">
      <c r="L218" s="86"/>
    </row>
    <row r="219" spans="12:12" ht="15.75" customHeight="1" x14ac:dyDescent="0.3">
      <c r="L219" s="86"/>
    </row>
    <row r="220" spans="12:12" ht="15.75" customHeight="1" x14ac:dyDescent="0.3">
      <c r="L220" s="86"/>
    </row>
    <row r="221" spans="12:12" ht="15.75" customHeight="1" x14ac:dyDescent="0.3">
      <c r="L221" s="86"/>
    </row>
    <row r="222" spans="12:12" ht="15.75" customHeight="1" x14ac:dyDescent="0.3">
      <c r="L222" s="86"/>
    </row>
    <row r="223" spans="12:12" ht="15.75" customHeight="1" x14ac:dyDescent="0.3">
      <c r="L223" s="86"/>
    </row>
    <row r="224" spans="12:12" ht="15.75" customHeight="1" x14ac:dyDescent="0.3">
      <c r="L224" s="86"/>
    </row>
    <row r="225" spans="12:12" ht="15.75" customHeight="1" x14ac:dyDescent="0.3">
      <c r="L225" s="86"/>
    </row>
    <row r="226" spans="12:12" ht="15.75" customHeight="1" x14ac:dyDescent="0.3">
      <c r="L226" s="86"/>
    </row>
    <row r="227" spans="12:12" ht="15.75" customHeight="1" x14ac:dyDescent="0.3">
      <c r="L227" s="86"/>
    </row>
    <row r="228" spans="12:12" ht="15.75" customHeight="1" x14ac:dyDescent="0.3">
      <c r="L228" s="86"/>
    </row>
    <row r="229" spans="12:12" ht="15.75" customHeight="1" x14ac:dyDescent="0.3">
      <c r="L229" s="86"/>
    </row>
    <row r="230" spans="12:12" ht="15.75" customHeight="1" x14ac:dyDescent="0.2"/>
    <row r="231" spans="12:12" ht="15.75" customHeight="1" x14ac:dyDescent="0.2"/>
    <row r="232" spans="12:12" ht="15.75" customHeight="1" x14ac:dyDescent="0.2"/>
    <row r="233" spans="12:12" ht="15.75" customHeight="1" x14ac:dyDescent="0.2"/>
    <row r="234" spans="12:12" ht="15.75" customHeight="1" x14ac:dyDescent="0.2"/>
    <row r="235" spans="12:12" ht="15.75" customHeight="1" x14ac:dyDescent="0.2"/>
    <row r="236" spans="12:12" ht="15.75" customHeight="1" x14ac:dyDescent="0.2"/>
    <row r="237" spans="12:12" ht="15.75" customHeight="1" x14ac:dyDescent="0.2"/>
    <row r="238" spans="12:12" ht="15.75" customHeight="1" x14ac:dyDescent="0.2"/>
    <row r="239" spans="12:12" ht="15.75" customHeight="1" x14ac:dyDescent="0.2"/>
    <row r="240" spans="12:12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</sheetData>
  <mergeCells count="3">
    <mergeCell ref="B2:F2"/>
    <mergeCell ref="B3:F3"/>
    <mergeCell ref="B4:F4"/>
  </mergeCells>
  <dataValidations count="1">
    <dataValidation type="list" allowBlank="1" showErrorMessage="1" sqref="G9:G10" xr:uid="{00000000-0002-0000-0300-000000000000}">
      <formula1>$O$2:$O$5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Test Report</vt:lpstr>
      <vt:lpstr>Test case List</vt:lpstr>
      <vt:lpstr>Producer_Consumer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Đạt Nguyễn Tiến</cp:lastModifiedBy>
  <dcterms:modified xsi:type="dcterms:W3CDTF">2026-03-02T21:11:09Z</dcterms:modified>
</cp:coreProperties>
</file>